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omments2.xml" ContentType="application/vnd.openxmlformats-officedocument.spreadsheetml.comments+xml"/>
  <Override PartName="/xl/drawings/drawing5.xml" ContentType="application/vnd.openxmlformats-officedocument.drawing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veritas-macbookpro/Library/Mobile Documents/com~apple~CloudDocs/_Project_Q/"/>
    </mc:Choice>
  </mc:AlternateContent>
  <xr:revisionPtr revIDLastSave="0" documentId="13_ncr:1_{EE6596D5-9022-AF46-9E2E-720467FEA5BC}" xr6:coauthVersionLast="47" xr6:coauthVersionMax="47" xr10:uidLastSave="{00000000-0000-0000-0000-000000000000}"/>
  <bookViews>
    <workbookView xWindow="0" yWindow="500" windowWidth="38400" windowHeight="21100" firstSheet="4" activeTab="12" xr2:uid="{006E3EBA-6898-5746-AE0F-D9182878F990}"/>
  </bookViews>
  <sheets>
    <sheet name="Systems_250408" sheetId="2" r:id="rId1"/>
    <sheet name="Hantu" sheetId="3" r:id="rId2"/>
    <sheet name="MiraeAsset" sheetId="5" r:id="rId3"/>
    <sheet name="Kakao_AWS_Cost_Instancess" sheetId="6" r:id="rId4"/>
    <sheet name="AWS_Kakao_costs_ELB" sheetId="10" r:id="rId5"/>
    <sheet name="old_KakakoPaySec_수익성 검토" sheetId="7" r:id="rId6"/>
    <sheet name="Fin_KakakoPaySec_수익성 검토 (2)" sheetId="11" r:id="rId7"/>
    <sheet name="개발자 노임단가" sheetId="9" r:id="rId8"/>
    <sheet name="유지보수_전체" sheetId="8" r:id="rId9"/>
    <sheet name="운영관리_전체_250408" sheetId="1" r:id="rId10"/>
    <sheet name="Dev_Local" sheetId="12" r:id="rId11"/>
    <sheet name="Payment(25.06)" sheetId="13" r:id="rId12"/>
    <sheet name="NameCard" sheetId="14" r:id="rId13"/>
  </sheets>
  <definedNames>
    <definedName name="_xlnm.Print_Area" localSheetId="8">유지보수_전체!$B$5:$M$24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0" i="14" l="1"/>
  <c r="F12" i="14"/>
  <c r="F14" i="14"/>
  <c r="F16" i="14"/>
  <c r="A12" i="11" l="1"/>
  <c r="E11" i="11"/>
  <c r="G11" i="11" s="1"/>
  <c r="E10" i="11"/>
  <c r="G10" i="11" s="1"/>
  <c r="E9" i="11"/>
  <c r="G9" i="11" s="1"/>
  <c r="E8" i="11"/>
  <c r="G8" i="11" s="1"/>
  <c r="E7" i="11"/>
  <c r="G7" i="11" s="1"/>
  <c r="B7" i="11"/>
  <c r="B12" i="11" l="1"/>
  <c r="G12" i="11"/>
  <c r="C7" i="11"/>
  <c r="O12" i="7"/>
  <c r="O13" i="7" s="1"/>
  <c r="H22" i="7"/>
  <c r="H7" i="11" l="1"/>
  <c r="A4" i="1" l="1"/>
  <c r="H8" i="8"/>
  <c r="A2" i="1"/>
  <c r="A30" i="1"/>
  <c r="A23" i="1"/>
  <c r="A16" i="1"/>
  <c r="C7" i="7" l="1"/>
  <c r="I14" i="8"/>
  <c r="I15" i="8"/>
  <c r="I7" i="8" l="1"/>
  <c r="H33" i="8"/>
  <c r="H29" i="8"/>
  <c r="H7" i="8"/>
  <c r="H34" i="8" l="1"/>
  <c r="B19" i="10"/>
  <c r="C6" i="10"/>
  <c r="C7" i="10"/>
  <c r="C8" i="10"/>
  <c r="C9" i="10"/>
  <c r="C10" i="10"/>
  <c r="C11" i="10"/>
  <c r="C13" i="10"/>
  <c r="C14" i="10"/>
  <c r="C15" i="10"/>
  <c r="C16" i="10"/>
  <c r="C17" i="10"/>
  <c r="C18" i="10"/>
  <c r="C5" i="10"/>
  <c r="D4" i="10"/>
  <c r="C12" i="10" s="1"/>
  <c r="C19" i="10" l="1"/>
  <c r="K16" i="8"/>
  <c r="K14" i="8"/>
  <c r="G11" i="7"/>
  <c r="G10" i="7"/>
  <c r="G9" i="7"/>
  <c r="G8" i="7"/>
  <c r="G7" i="7"/>
  <c r="K12" i="8"/>
  <c r="I16" i="8"/>
  <c r="J15" i="8" s="1"/>
  <c r="H17" i="8"/>
  <c r="H18" i="8" s="1"/>
  <c r="J14" i="8"/>
  <c r="J13" i="8"/>
  <c r="I17" i="8" l="1"/>
  <c r="J7" i="8"/>
  <c r="J16" i="8"/>
  <c r="I11" i="7"/>
  <c r="I10" i="7"/>
  <c r="I9" i="7"/>
  <c r="I8" i="7"/>
  <c r="I7" i="7"/>
  <c r="D7" i="7"/>
  <c r="M3" i="6"/>
  <c r="L2" i="6"/>
  <c r="J17" i="8" l="1"/>
  <c r="J18" i="8" s="1"/>
  <c r="I12" i="7"/>
  <c r="J18" i="7" s="1"/>
  <c r="K19" i="7" s="1"/>
  <c r="E7" i="7"/>
  <c r="E12" i="7" s="1"/>
  <c r="J7" i="7" l="1"/>
  <c r="K13" i="8"/>
  <c r="K7" i="8"/>
  <c r="K17" i="8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Microsoft Office User</author>
  </authors>
  <commentList>
    <comment ref="C16" authorId="0" shapeId="0" xr:uid="{06426AA6-B3FF-0F46-8A17-7A76BEF42E77}">
      <text>
        <r>
          <rPr>
            <b/>
            <sz val="10"/>
            <color rgb="FF000000"/>
            <rFont val="Malgun Gothic"/>
            <family val="2"/>
            <charset val="129"/>
          </rPr>
          <t>Microsoft Office User:</t>
        </r>
        <r>
          <rPr>
            <sz val="10"/>
            <color rgb="FF000000"/>
            <rFont val="Malgun Gothic"/>
            <family val="2"/>
            <charset val="129"/>
          </rPr>
          <t xml:space="preserve">
</t>
        </r>
        <r>
          <rPr>
            <sz val="10"/>
            <color rgb="FF000000"/>
            <rFont val="Malgun Gothic"/>
            <family val="2"/>
            <charset val="129"/>
          </rPr>
          <t>alfo@admin2</t>
        </r>
      </text>
    </comment>
    <comment ref="C18" authorId="0" shapeId="0" xr:uid="{63143891-1122-CA47-B46A-52AD8A9E28BB}">
      <text>
        <r>
          <rPr>
            <b/>
            <sz val="10"/>
            <color rgb="FF000000"/>
            <rFont val="Malgun Gothic"/>
            <family val="2"/>
            <charset val="129"/>
          </rPr>
          <t>Microsoft Office User:</t>
        </r>
        <r>
          <rPr>
            <sz val="10"/>
            <color rgb="FF000000"/>
            <rFont val="Malgun Gothic"/>
            <family val="2"/>
            <charset val="129"/>
          </rPr>
          <t xml:space="preserve">
</t>
        </r>
        <r>
          <rPr>
            <sz val="10"/>
            <color rgb="FF000000"/>
            <rFont val="맑은 고딕"/>
            <family val="2"/>
            <charset val="129"/>
            <scheme val="minor"/>
          </rPr>
          <t xml:space="preserve">veritas@k2
</t>
        </r>
        <r>
          <rPr>
            <sz val="10"/>
            <color rgb="FF000000"/>
            <rFont val="Malgun Gothic"/>
            <family val="2"/>
            <charset val="129"/>
          </rPr>
          <t xml:space="preserve">25.04.08 </t>
        </r>
        <r>
          <rPr>
            <sz val="10"/>
            <color rgb="FF000000"/>
            <rFont val="Malgun Gothic"/>
            <family val="2"/>
            <charset val="129"/>
          </rPr>
          <t>최종</t>
        </r>
        <r>
          <rPr>
            <sz val="10"/>
            <color rgb="FF000000"/>
            <rFont val="Malgun Gothic"/>
            <family val="2"/>
            <charset val="129"/>
          </rPr>
          <t xml:space="preserve"> </t>
        </r>
        <r>
          <rPr>
            <sz val="10"/>
            <color rgb="FF000000"/>
            <rFont val="Malgun Gothic"/>
            <family val="2"/>
            <charset val="129"/>
          </rPr>
          <t>업데이트</t>
        </r>
        <r>
          <rPr>
            <sz val="10"/>
            <color rgb="FF000000"/>
            <rFont val="Malgun Gothic"/>
            <family val="2"/>
            <charset val="129"/>
          </rPr>
          <t xml:space="preserve">
</t>
        </r>
        <r>
          <rPr>
            <sz val="10"/>
            <color rgb="FF000000"/>
            <rFont val="Malgun Gothic"/>
            <family val="2"/>
            <charset val="129"/>
          </rPr>
          <t>네이버웍스</t>
        </r>
        <r>
          <rPr>
            <sz val="10"/>
            <color rgb="FF000000"/>
            <rFont val="Malgun Gothic"/>
            <family val="2"/>
            <charset val="129"/>
          </rPr>
          <t xml:space="preserve"> </t>
        </r>
        <r>
          <rPr>
            <sz val="10"/>
            <color rgb="FF000000"/>
            <rFont val="Malgun Gothic"/>
            <family val="2"/>
            <charset val="129"/>
          </rPr>
          <t>법인</t>
        </r>
        <r>
          <rPr>
            <sz val="10"/>
            <color rgb="FF000000"/>
            <rFont val="Malgun Gothic"/>
            <family val="2"/>
            <charset val="129"/>
          </rPr>
          <t xml:space="preserve"> </t>
        </r>
        <r>
          <rPr>
            <sz val="10"/>
            <color rgb="FF000000"/>
            <rFont val="Malgun Gothic"/>
            <family val="2"/>
            <charset val="129"/>
          </rPr>
          <t>계정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Microsoft Office User</author>
  </authors>
  <commentList>
    <comment ref="H7" authorId="0" shapeId="0" xr:uid="{CCFAA0D5-E2AF-AC41-963F-2CDF77626F88}">
      <text>
        <r>
          <rPr>
            <b/>
            <sz val="12"/>
            <color rgb="FF000000"/>
            <rFont val="Malgun Gothic"/>
            <family val="2"/>
            <charset val="129"/>
          </rPr>
          <t xml:space="preserve">Microsoft Office User:
</t>
        </r>
        <r>
          <rPr>
            <b/>
            <sz val="12"/>
            <color rgb="FF000000"/>
            <rFont val="Malgun Gothic"/>
            <family val="2"/>
            <charset val="129"/>
          </rPr>
          <t xml:space="preserve">
</t>
        </r>
        <r>
          <rPr>
            <b/>
            <sz val="12"/>
            <color rgb="FF000000"/>
            <rFont val="Malgun Gothic"/>
            <family val="2"/>
            <charset val="129"/>
          </rPr>
          <t>개발</t>
        </r>
        <r>
          <rPr>
            <b/>
            <sz val="12"/>
            <color rgb="FF000000"/>
            <rFont val="Malgun Gothic"/>
            <family val="2"/>
            <charset val="129"/>
          </rPr>
          <t xml:space="preserve"> 2,420,000 + </t>
        </r>
        <r>
          <rPr>
            <b/>
            <sz val="12"/>
            <color rgb="FF000000"/>
            <rFont val="Malgun Gothic"/>
            <family val="2"/>
            <charset val="129"/>
          </rPr>
          <t>제작</t>
        </r>
        <r>
          <rPr>
            <b/>
            <sz val="12"/>
            <color rgb="FF000000"/>
            <rFont val="Malgun Gothic"/>
            <family val="2"/>
            <charset val="129"/>
          </rPr>
          <t>(</t>
        </r>
        <r>
          <rPr>
            <b/>
            <sz val="12"/>
            <color rgb="FF000000"/>
            <rFont val="Malgun Gothic"/>
            <family val="2"/>
            <charset val="129"/>
          </rPr>
          <t>디자인</t>
        </r>
        <r>
          <rPr>
            <b/>
            <sz val="12"/>
            <color rgb="FF000000"/>
            <rFont val="Malgun Gothic"/>
            <family val="2"/>
            <charset val="129"/>
          </rPr>
          <t xml:space="preserve">) 
</t>
        </r>
        <r>
          <rPr>
            <sz val="12"/>
            <color rgb="FF000000"/>
            <rFont val="Malgun Gothic"/>
            <family val="2"/>
            <charset val="129"/>
          </rPr>
          <t xml:space="preserve">
</t>
        </r>
        <r>
          <rPr>
            <sz val="12"/>
            <color rgb="FF000000"/>
            <rFont val="맑은 고딕"/>
            <family val="2"/>
            <charset val="129"/>
          </rPr>
          <t xml:space="preserve">1) PC/Mobile </t>
        </r>
        <r>
          <rPr>
            <sz val="12"/>
            <color rgb="FF000000"/>
            <rFont val="맑은 고딕"/>
            <family val="2"/>
            <charset val="129"/>
          </rPr>
          <t>페이지</t>
        </r>
        <r>
          <rPr>
            <sz val="12"/>
            <color rgb="FF000000"/>
            <rFont val="맑은 고딕"/>
            <family val="2"/>
            <charset val="129"/>
          </rPr>
          <t xml:space="preserve"> </t>
        </r>
        <r>
          <rPr>
            <sz val="12"/>
            <color rgb="FF000000"/>
            <rFont val="맑은 고딕"/>
            <family val="2"/>
            <charset val="129"/>
          </rPr>
          <t>퍼블리싱</t>
        </r>
        <r>
          <rPr>
            <sz val="12"/>
            <color rgb="FF000000"/>
            <rFont val="맑은 고딕"/>
            <family val="2"/>
            <charset val="129"/>
          </rPr>
          <t xml:space="preserve">(3ea) / 990,000
</t>
        </r>
        <r>
          <rPr>
            <sz val="12"/>
            <color rgb="FF000000"/>
            <rFont val="맑은 고딕"/>
            <family val="2"/>
            <charset val="129"/>
          </rPr>
          <t xml:space="preserve">- </t>
        </r>
        <r>
          <rPr>
            <sz val="12"/>
            <color rgb="FF000000"/>
            <rFont val="맑은 고딕"/>
            <family val="2"/>
            <charset val="129"/>
          </rPr>
          <t>국내투자</t>
        </r>
        <r>
          <rPr>
            <sz val="12"/>
            <color rgb="FF000000"/>
            <rFont val="맑은 고딕"/>
            <family val="2"/>
            <charset val="129"/>
          </rPr>
          <t xml:space="preserve"> / </t>
        </r>
        <r>
          <rPr>
            <sz val="12"/>
            <color rgb="FF000000"/>
            <rFont val="맑은 고딕"/>
            <family val="2"/>
            <charset val="129"/>
          </rPr>
          <t>해외투자</t>
        </r>
        <r>
          <rPr>
            <sz val="12"/>
            <color rgb="FF000000"/>
            <rFont val="맑은 고딕"/>
            <family val="2"/>
            <charset val="129"/>
          </rPr>
          <t xml:space="preserve"> / </t>
        </r>
        <r>
          <rPr>
            <sz val="12"/>
            <color rgb="FF000000"/>
            <rFont val="맑은 고딕"/>
            <family val="2"/>
            <charset val="129"/>
          </rPr>
          <t>금융상품</t>
        </r>
        <r>
          <rPr>
            <sz val="12"/>
            <color rgb="FF000000"/>
            <rFont val="맑은 고딕"/>
            <family val="2"/>
            <charset val="129"/>
          </rPr>
          <t xml:space="preserve"> 
</t>
        </r>
        <r>
          <rPr>
            <sz val="12"/>
            <color rgb="FF000000"/>
            <rFont val="맑은 고딕"/>
            <family val="2"/>
            <charset val="129"/>
          </rPr>
          <t xml:space="preserve">
</t>
        </r>
        <r>
          <rPr>
            <sz val="12"/>
            <color rgb="FF000000"/>
            <rFont val="맑은 고딕"/>
            <family val="2"/>
            <charset val="129"/>
          </rPr>
          <t xml:space="preserve">2) </t>
        </r>
        <r>
          <rPr>
            <sz val="12"/>
            <color rgb="FF000000"/>
            <rFont val="맑은 고딕"/>
            <family val="2"/>
            <charset val="129"/>
          </rPr>
          <t>클라우드</t>
        </r>
        <r>
          <rPr>
            <sz val="12"/>
            <color rgb="FF000000"/>
            <rFont val="맑은 고딕"/>
            <family val="2"/>
            <charset val="129"/>
          </rPr>
          <t xml:space="preserve"> </t>
        </r>
        <r>
          <rPr>
            <sz val="12"/>
            <color rgb="FF000000"/>
            <rFont val="맑은 고딕"/>
            <family val="2"/>
            <charset val="129"/>
          </rPr>
          <t>웹호스팅</t>
        </r>
        <r>
          <rPr>
            <sz val="12"/>
            <color rgb="FF000000"/>
            <rFont val="맑은 고딕"/>
            <family val="2"/>
            <charset val="129"/>
          </rPr>
          <t>(</t>
        </r>
        <r>
          <rPr>
            <sz val="12"/>
            <color rgb="FF000000"/>
            <rFont val="맑은 고딕"/>
            <family val="2"/>
            <charset val="129"/>
          </rPr>
          <t>웹서버</t>
        </r>
        <r>
          <rPr>
            <sz val="12"/>
            <color rgb="FF000000"/>
            <rFont val="맑은 고딕"/>
            <family val="2"/>
            <charset val="129"/>
          </rPr>
          <t xml:space="preserve"> 1ea) / 1,100,000 
</t>
        </r>
        <r>
          <rPr>
            <sz val="12"/>
            <color rgb="FF000000"/>
            <rFont val="맑은 고딕"/>
            <family val="2"/>
            <charset val="129"/>
          </rPr>
          <t xml:space="preserve">- CentOS 7.3 (64-bit) // 2vCPU, 4GB Mem, 50GB Disk 
</t>
        </r>
        <r>
          <rPr>
            <sz val="12"/>
            <color rgb="FF000000"/>
            <rFont val="맑은 고딕"/>
            <family val="2"/>
            <charset val="129"/>
          </rPr>
          <t xml:space="preserve">
</t>
        </r>
        <r>
          <rPr>
            <sz val="12"/>
            <color rgb="FF000000"/>
            <rFont val="맑은 고딕"/>
            <family val="2"/>
            <charset val="129"/>
          </rPr>
          <t xml:space="preserve">3) PC/Mobile </t>
        </r>
        <r>
          <rPr>
            <sz val="12"/>
            <color rgb="FF000000"/>
            <rFont val="맑은 고딕"/>
            <family val="2"/>
            <charset val="129"/>
          </rPr>
          <t>통합이벤트페이지</t>
        </r>
        <r>
          <rPr>
            <sz val="12"/>
            <color rgb="FF000000"/>
            <rFont val="맑은 고딕"/>
            <family val="2"/>
            <charset val="129"/>
          </rPr>
          <t xml:space="preserve"> </t>
        </r>
        <r>
          <rPr>
            <sz val="12"/>
            <color rgb="FF000000"/>
            <rFont val="맑은 고딕"/>
            <family val="2"/>
            <charset val="129"/>
          </rPr>
          <t>수정</t>
        </r>
        <r>
          <rPr>
            <sz val="12"/>
            <color rgb="FF000000"/>
            <rFont val="맑은 고딕"/>
            <family val="2"/>
            <charset val="129"/>
          </rPr>
          <t xml:space="preserve"> / 330,000 
</t>
        </r>
        <r>
          <rPr>
            <sz val="12"/>
            <color rgb="FF000000"/>
            <rFont val="맑은 고딕"/>
            <family val="2"/>
            <charset val="129"/>
          </rPr>
          <t xml:space="preserve">- </t>
        </r>
        <r>
          <rPr>
            <sz val="12"/>
            <color rgb="FF000000"/>
            <rFont val="맑은 고딕"/>
            <family val="2"/>
            <charset val="129"/>
          </rPr>
          <t>국내투자</t>
        </r>
        <r>
          <rPr>
            <sz val="12"/>
            <color rgb="FF000000"/>
            <rFont val="맑은 고딕"/>
            <family val="2"/>
            <charset val="129"/>
          </rPr>
          <t xml:space="preserve"> / </t>
        </r>
        <r>
          <rPr>
            <sz val="12"/>
            <color rgb="FF000000"/>
            <rFont val="맑은 고딕"/>
            <family val="2"/>
            <charset val="129"/>
          </rPr>
          <t>해외투자</t>
        </r>
        <r>
          <rPr>
            <sz val="12"/>
            <color rgb="FF000000"/>
            <rFont val="맑은 고딕"/>
            <family val="2"/>
            <charset val="129"/>
          </rPr>
          <t xml:space="preserve"> / </t>
        </r>
        <r>
          <rPr>
            <sz val="12"/>
            <color rgb="FF000000"/>
            <rFont val="맑은 고딕"/>
            <family val="2"/>
            <charset val="129"/>
          </rPr>
          <t>금융상품</t>
        </r>
        <r>
          <rPr>
            <sz val="12"/>
            <color rgb="FF000000"/>
            <rFont val="맑은 고딕"/>
            <family val="2"/>
            <charset val="129"/>
          </rPr>
          <t xml:space="preserve"> 
</t>
        </r>
        <r>
          <rPr>
            <sz val="12"/>
            <color rgb="FF000000"/>
            <rFont val="맑은 고딕"/>
            <family val="2"/>
            <charset val="129"/>
          </rPr>
          <t xml:space="preserve">
</t>
        </r>
        <r>
          <rPr>
            <sz val="12"/>
            <color rgb="FF000000"/>
            <rFont val="맑은 고딕"/>
            <family val="2"/>
            <charset val="129"/>
          </rPr>
          <t>4) 4</t>
        </r>
        <r>
          <rPr>
            <sz val="12"/>
            <color rgb="FF000000"/>
            <rFont val="맑은 고딕"/>
            <family val="2"/>
            <charset val="129"/>
          </rPr>
          <t>월</t>
        </r>
        <r>
          <rPr>
            <sz val="12"/>
            <color rgb="FF000000"/>
            <rFont val="맑은 고딕"/>
            <family val="2"/>
            <charset val="129"/>
          </rPr>
          <t xml:space="preserve"> </t>
        </r>
        <r>
          <rPr>
            <sz val="12"/>
            <color rgb="FF000000"/>
            <rFont val="맑은 고딕"/>
            <family val="2"/>
            <charset val="129"/>
          </rPr>
          <t>브랜드검색</t>
        </r>
        <r>
          <rPr>
            <sz val="12"/>
            <color rgb="FF000000"/>
            <rFont val="맑은 고딕"/>
            <family val="2"/>
            <charset val="129"/>
          </rPr>
          <t xml:space="preserve"> </t>
        </r>
        <r>
          <rPr>
            <sz val="12"/>
            <color rgb="FF000000"/>
            <rFont val="맑은 고딕"/>
            <family val="2"/>
            <charset val="129"/>
          </rPr>
          <t>소재</t>
        </r>
        <r>
          <rPr>
            <sz val="12"/>
            <color rgb="FF000000"/>
            <rFont val="맑은 고딕"/>
            <family val="2"/>
            <charset val="129"/>
          </rPr>
          <t xml:space="preserve"> </t>
        </r>
        <r>
          <rPr>
            <sz val="12"/>
            <color rgb="FF000000"/>
            <rFont val="맑은 고딕"/>
            <family val="2"/>
            <charset val="129"/>
          </rPr>
          <t>제작</t>
        </r>
        <r>
          <rPr>
            <sz val="12"/>
            <color rgb="FF000000"/>
            <rFont val="맑은 고딕"/>
            <family val="2"/>
            <charset val="129"/>
          </rPr>
          <t xml:space="preserve"> (</t>
        </r>
        <r>
          <rPr>
            <sz val="12"/>
            <color rgb="FF000000"/>
            <rFont val="맑은 고딕"/>
            <family val="2"/>
            <charset val="129"/>
          </rPr>
          <t>총</t>
        </r>
        <r>
          <rPr>
            <sz val="12"/>
            <color rgb="FF000000"/>
            <rFont val="맑은 고딕"/>
            <family val="2"/>
            <charset val="129"/>
          </rPr>
          <t xml:space="preserve"> 2</t>
        </r>
        <r>
          <rPr>
            <sz val="12"/>
            <color rgb="FF000000"/>
            <rFont val="맑은 고딕"/>
            <family val="2"/>
            <charset val="129"/>
          </rPr>
          <t>개</t>
        </r>
        <r>
          <rPr>
            <sz val="12"/>
            <color rgb="FF000000"/>
            <rFont val="맑은 고딕"/>
            <family val="2"/>
            <charset val="129"/>
          </rPr>
          <t xml:space="preserve"> </t>
        </r>
        <r>
          <rPr>
            <sz val="12"/>
            <color rgb="FF000000"/>
            <rFont val="맑은 고딕"/>
            <family val="2"/>
            <charset val="129"/>
          </rPr>
          <t>안</t>
        </r>
        <r>
          <rPr>
            <sz val="12"/>
            <color rgb="FF000000"/>
            <rFont val="맑은 고딕"/>
            <family val="2"/>
            <charset val="129"/>
          </rPr>
          <t xml:space="preserve">) / 264,000 
</t>
        </r>
        <r>
          <rPr>
            <sz val="12"/>
            <color rgb="FF000000"/>
            <rFont val="맑은 고딕"/>
            <family val="2"/>
            <charset val="129"/>
          </rPr>
          <t xml:space="preserve">- PC </t>
        </r>
        <r>
          <rPr>
            <sz val="12"/>
            <color rgb="FF000000"/>
            <rFont val="맑은 고딕"/>
            <family val="2"/>
            <charset val="129"/>
          </rPr>
          <t>메인</t>
        </r>
        <r>
          <rPr>
            <sz val="12"/>
            <color rgb="FF000000"/>
            <rFont val="맑은 고딕"/>
            <family val="2"/>
            <charset val="129"/>
          </rPr>
          <t xml:space="preserve"> </t>
        </r>
        <r>
          <rPr>
            <sz val="12"/>
            <color rgb="FF000000"/>
            <rFont val="맑은 고딕"/>
            <family val="2"/>
            <charset val="129"/>
          </rPr>
          <t>이미지</t>
        </r>
        <r>
          <rPr>
            <sz val="12"/>
            <color rgb="FF000000"/>
            <rFont val="맑은 고딕"/>
            <family val="2"/>
            <charset val="129"/>
          </rPr>
          <t xml:space="preserve"> (2ea)
</t>
        </r>
        <r>
          <rPr>
            <sz val="12"/>
            <color rgb="FF000000"/>
            <rFont val="맑은 고딕"/>
            <family val="2"/>
            <charset val="129"/>
          </rPr>
          <t xml:space="preserve">- MO </t>
        </r>
        <r>
          <rPr>
            <sz val="12"/>
            <color rgb="FF000000"/>
            <rFont val="맑은 고딕"/>
            <family val="2"/>
            <charset val="129"/>
          </rPr>
          <t>메인</t>
        </r>
        <r>
          <rPr>
            <sz val="12"/>
            <color rgb="FF000000"/>
            <rFont val="맑은 고딕"/>
            <family val="2"/>
            <charset val="129"/>
          </rPr>
          <t xml:space="preserve"> </t>
        </r>
        <r>
          <rPr>
            <sz val="12"/>
            <color rgb="FF000000"/>
            <rFont val="맑은 고딕"/>
            <family val="2"/>
            <charset val="129"/>
          </rPr>
          <t>이미지</t>
        </r>
        <r>
          <rPr>
            <sz val="12"/>
            <color rgb="FF000000"/>
            <rFont val="맑은 고딕"/>
            <family val="2"/>
            <charset val="129"/>
          </rPr>
          <t xml:space="preserve"> (2ea)
</t>
        </r>
        <r>
          <rPr>
            <sz val="12"/>
            <color rgb="FF000000"/>
            <rFont val="맑은 고딕"/>
            <family val="2"/>
            <charset val="129"/>
          </rPr>
          <t xml:space="preserve">- PC </t>
        </r>
        <r>
          <rPr>
            <sz val="12"/>
            <color rgb="FF000000"/>
            <rFont val="맑은 고딕"/>
            <family val="2"/>
            <charset val="129"/>
          </rPr>
          <t>썸네일</t>
        </r>
        <r>
          <rPr>
            <sz val="12"/>
            <color rgb="FF000000"/>
            <rFont val="맑은 고딕"/>
            <family val="2"/>
            <charset val="129"/>
          </rPr>
          <t xml:space="preserve"> (2ea)
</t>
        </r>
        <r>
          <rPr>
            <sz val="12"/>
            <color rgb="FF000000"/>
            <rFont val="맑은 고딕"/>
            <family val="2"/>
            <charset val="129"/>
          </rPr>
          <t xml:space="preserve">- MO </t>
        </r>
        <r>
          <rPr>
            <sz val="12"/>
            <color rgb="FF000000"/>
            <rFont val="맑은 고딕"/>
            <family val="2"/>
            <charset val="129"/>
          </rPr>
          <t>썸네일</t>
        </r>
        <r>
          <rPr>
            <sz val="12"/>
            <color rgb="FF000000"/>
            <rFont val="맑은 고딕"/>
            <family val="2"/>
            <charset val="129"/>
          </rPr>
          <t xml:space="preserve"> (2ea) 
</t>
        </r>
        <r>
          <rPr>
            <sz val="12"/>
            <color rgb="FF000000"/>
            <rFont val="맑은 고딕"/>
            <family val="2"/>
            <charset val="129"/>
          </rPr>
          <t xml:space="preserve">
</t>
        </r>
        <r>
          <rPr>
            <sz val="12"/>
            <color rgb="FF000000"/>
            <rFont val="맑은 고딕"/>
            <family val="2"/>
            <charset val="129"/>
          </rPr>
          <t xml:space="preserve">
</t>
        </r>
        <r>
          <rPr>
            <sz val="12"/>
            <color rgb="FF000000"/>
            <rFont val="맑은 고딕"/>
            <family val="2"/>
            <charset val="129"/>
          </rPr>
          <t xml:space="preserve">5) </t>
        </r>
        <r>
          <rPr>
            <sz val="12"/>
            <color rgb="FF000000"/>
            <rFont val="맑은 고딕"/>
            <family val="2"/>
            <charset val="129"/>
          </rPr>
          <t>해외주식</t>
        </r>
        <r>
          <rPr>
            <sz val="12"/>
            <color rgb="FF000000"/>
            <rFont val="맑은 고딕"/>
            <family val="2"/>
            <charset val="129"/>
          </rPr>
          <t xml:space="preserve"> </t>
        </r>
        <r>
          <rPr>
            <sz val="12"/>
            <color rgb="FF000000"/>
            <rFont val="맑은 고딕"/>
            <family val="2"/>
            <charset val="129"/>
          </rPr>
          <t>캠페인</t>
        </r>
        <r>
          <rPr>
            <sz val="12"/>
            <color rgb="FF000000"/>
            <rFont val="맑은 고딕"/>
            <family val="2"/>
            <charset val="129"/>
          </rPr>
          <t xml:space="preserve"> </t>
        </r>
        <r>
          <rPr>
            <sz val="12"/>
            <color rgb="FF000000"/>
            <rFont val="맑은 고딕"/>
            <family val="2"/>
            <charset val="129"/>
          </rPr>
          <t>소재</t>
        </r>
        <r>
          <rPr>
            <sz val="12"/>
            <color rgb="FF000000"/>
            <rFont val="맑은 고딕"/>
            <family val="2"/>
            <charset val="129"/>
          </rPr>
          <t xml:space="preserve"> </t>
        </r>
        <r>
          <rPr>
            <sz val="12"/>
            <color rgb="FF000000"/>
            <rFont val="맑은 고딕"/>
            <family val="2"/>
            <charset val="129"/>
          </rPr>
          <t>시안</t>
        </r>
        <r>
          <rPr>
            <sz val="12"/>
            <color rgb="FF000000"/>
            <rFont val="맑은 고딕"/>
            <family val="2"/>
            <charset val="129"/>
          </rPr>
          <t xml:space="preserve"> </t>
        </r>
        <r>
          <rPr>
            <sz val="12"/>
            <color rgb="FF000000"/>
            <rFont val="맑은 고딕"/>
            <family val="2"/>
            <charset val="129"/>
          </rPr>
          <t>제작</t>
        </r>
        <r>
          <rPr>
            <sz val="12"/>
            <color rgb="FF000000"/>
            <rFont val="맑은 고딕"/>
            <family val="2"/>
            <charset val="129"/>
          </rPr>
          <t xml:space="preserve"> (4ea) / 1,320,000
</t>
        </r>
        <r>
          <rPr>
            <sz val="12"/>
            <color rgb="FF000000"/>
            <rFont val="맑은 고딕"/>
            <family val="2"/>
            <charset val="129"/>
          </rPr>
          <t xml:space="preserve">
</t>
        </r>
        <r>
          <rPr>
            <sz val="12"/>
            <color rgb="FF000000"/>
            <rFont val="맑은 고딕"/>
            <family val="2"/>
            <charset val="129"/>
          </rPr>
          <t xml:space="preserve">
</t>
        </r>
        <r>
          <rPr>
            <sz val="12"/>
            <color rgb="FF000000"/>
            <rFont val="맑은 고딕"/>
            <family val="2"/>
            <charset val="129"/>
          </rPr>
          <t xml:space="preserve">6) </t>
        </r>
        <r>
          <rPr>
            <sz val="12"/>
            <color rgb="FF000000"/>
            <rFont val="맑은 고딕"/>
            <family val="2"/>
            <charset val="129"/>
          </rPr>
          <t>해외주식</t>
        </r>
        <r>
          <rPr>
            <sz val="12"/>
            <color rgb="FF000000"/>
            <rFont val="맑은 고딕"/>
            <family val="2"/>
            <charset val="129"/>
          </rPr>
          <t xml:space="preserve"> </t>
        </r>
        <r>
          <rPr>
            <sz val="12"/>
            <color rgb="FF000000"/>
            <rFont val="맑은 고딕"/>
            <family val="2"/>
            <charset val="129"/>
          </rPr>
          <t>캠페인</t>
        </r>
        <r>
          <rPr>
            <sz val="12"/>
            <color rgb="FF000000"/>
            <rFont val="맑은 고딕"/>
            <family val="2"/>
            <charset val="129"/>
          </rPr>
          <t xml:space="preserve"> </t>
        </r>
        <r>
          <rPr>
            <sz val="12"/>
            <color rgb="FF000000"/>
            <rFont val="맑은 고딕"/>
            <family val="2"/>
            <charset val="129"/>
          </rPr>
          <t>소재</t>
        </r>
        <r>
          <rPr>
            <sz val="12"/>
            <color rgb="FF000000"/>
            <rFont val="맑은 고딕"/>
            <family val="2"/>
            <charset val="129"/>
          </rPr>
          <t xml:space="preserve"> </t>
        </r>
        <r>
          <rPr>
            <sz val="12"/>
            <color rgb="FF000000"/>
            <rFont val="맑은 고딕"/>
            <family val="2"/>
            <charset val="129"/>
          </rPr>
          <t>베리에이션</t>
        </r>
        <r>
          <rPr>
            <sz val="12"/>
            <color rgb="FF000000"/>
            <rFont val="맑은 고딕"/>
            <family val="2"/>
            <charset val="129"/>
          </rPr>
          <t xml:space="preserve"> (76ea) / 2,508,000 
</t>
        </r>
        <r>
          <rPr>
            <sz val="12"/>
            <color rgb="FF000000"/>
            <rFont val="맑은 고딕"/>
            <family val="2"/>
            <charset val="129"/>
          </rPr>
          <t xml:space="preserve">- </t>
        </r>
        <r>
          <rPr>
            <sz val="12"/>
            <color rgb="FF000000"/>
            <rFont val="맑은 고딕"/>
            <family val="2"/>
            <charset val="129"/>
          </rPr>
          <t>네이버</t>
        </r>
        <r>
          <rPr>
            <sz val="12"/>
            <color rgb="FF000000"/>
            <rFont val="맑은 고딕"/>
            <family val="2"/>
            <charset val="129"/>
          </rPr>
          <t xml:space="preserve"> GFA 1ea x 4
</t>
        </r>
        <r>
          <rPr>
            <sz val="12"/>
            <color rgb="FF000000"/>
            <rFont val="맑은 고딕"/>
            <family val="2"/>
            <charset val="129"/>
          </rPr>
          <t xml:space="preserve">- </t>
        </r>
        <r>
          <rPr>
            <sz val="12"/>
            <color rgb="FF000000"/>
            <rFont val="맑은 고딕"/>
            <family val="2"/>
            <charset val="129"/>
          </rPr>
          <t>카카오모먼트</t>
        </r>
        <r>
          <rPr>
            <sz val="12"/>
            <color rgb="FF000000"/>
            <rFont val="맑은 고딕"/>
            <family val="2"/>
            <charset val="129"/>
          </rPr>
          <t xml:space="preserve"> 2ea x 4
</t>
        </r>
        <r>
          <rPr>
            <sz val="12"/>
            <color rgb="FF000000"/>
            <rFont val="맑은 고딕"/>
            <family val="2"/>
            <charset val="129"/>
          </rPr>
          <t xml:space="preserve">- </t>
        </r>
        <r>
          <rPr>
            <sz val="12"/>
            <color rgb="FF000000"/>
            <rFont val="맑은 고딕"/>
            <family val="2"/>
            <charset val="129"/>
          </rPr>
          <t>트레이딩웍스</t>
        </r>
        <r>
          <rPr>
            <sz val="12"/>
            <color rgb="FF000000"/>
            <rFont val="맑은 고딕"/>
            <family val="2"/>
            <charset val="129"/>
          </rPr>
          <t xml:space="preserve"> 7ea x 4
</t>
        </r>
        <r>
          <rPr>
            <sz val="12"/>
            <color rgb="FF000000"/>
            <rFont val="맑은 고딕"/>
            <family val="2"/>
            <charset val="129"/>
          </rPr>
          <t xml:space="preserve">- </t>
        </r>
        <r>
          <rPr>
            <sz val="12"/>
            <color rgb="FF000000"/>
            <rFont val="맑은 고딕"/>
            <family val="2"/>
            <charset val="129"/>
          </rPr>
          <t>몰로코</t>
        </r>
        <r>
          <rPr>
            <sz val="12"/>
            <color rgb="FF000000"/>
            <rFont val="맑은 고딕"/>
            <family val="2"/>
            <charset val="129"/>
          </rPr>
          <t xml:space="preserve"> 9ea x 4 </t>
        </r>
      </text>
    </comment>
    <comment ref="I14" authorId="0" shapeId="0" xr:uid="{4000F43E-C664-FD4D-BB16-5CA18A4B62EA}">
      <text>
        <r>
          <rPr>
            <b/>
            <sz val="10"/>
            <color rgb="FF000000"/>
            <rFont val="Malgun Gothic"/>
            <family val="2"/>
            <charset val="129"/>
          </rPr>
          <t>Microsoft Office User:</t>
        </r>
        <r>
          <rPr>
            <sz val="10"/>
            <color rgb="FF000000"/>
            <rFont val="Malgun Gothic"/>
            <family val="2"/>
            <charset val="129"/>
          </rPr>
          <t xml:space="preserve">
</t>
        </r>
        <r>
          <rPr>
            <sz val="10"/>
            <color rgb="FF000000"/>
            <rFont val="Malgun Gothic"/>
            <family val="2"/>
            <charset val="129"/>
          </rPr>
          <t>직전</t>
        </r>
        <r>
          <rPr>
            <sz val="10"/>
            <color rgb="FF000000"/>
            <rFont val="Malgun Gothic"/>
            <family val="2"/>
            <charset val="129"/>
          </rPr>
          <t xml:space="preserve"> 3</t>
        </r>
        <r>
          <rPr>
            <sz val="10"/>
            <color rgb="FF000000"/>
            <rFont val="Malgun Gothic"/>
            <family val="2"/>
            <charset val="129"/>
          </rPr>
          <t>개월</t>
        </r>
        <r>
          <rPr>
            <sz val="10"/>
            <color rgb="FF000000"/>
            <rFont val="Malgun Gothic"/>
            <family val="2"/>
            <charset val="129"/>
          </rPr>
          <t xml:space="preserve"> </t>
        </r>
        <r>
          <rPr>
            <sz val="10"/>
            <color rgb="FF000000"/>
            <rFont val="Malgun Gothic"/>
            <family val="2"/>
            <charset val="129"/>
          </rPr>
          <t>평균</t>
        </r>
        <r>
          <rPr>
            <sz val="10"/>
            <color rgb="FF000000"/>
            <rFont val="Malgun Gothic"/>
            <family val="2"/>
            <charset val="129"/>
          </rPr>
          <t>('25.1~25.3)</t>
        </r>
      </text>
    </comment>
    <comment ref="E16" authorId="0" shapeId="0" xr:uid="{6527DE42-3547-5D4D-93C8-F380AC847D29}">
      <text>
        <r>
          <rPr>
            <b/>
            <sz val="12"/>
            <color rgb="FF000000"/>
            <rFont val="Malgun Gothic"/>
            <family val="2"/>
            <charset val="129"/>
          </rPr>
          <t>Microsoft Office User:</t>
        </r>
        <r>
          <rPr>
            <sz val="12"/>
            <color rgb="FF000000"/>
            <rFont val="Malgun Gothic"/>
            <family val="2"/>
            <charset val="129"/>
          </rPr>
          <t xml:space="preserve">
</t>
        </r>
        <r>
          <rPr>
            <sz val="12"/>
            <color rgb="FF000000"/>
            <rFont val="Malgun Gothic"/>
            <family val="2"/>
            <charset val="129"/>
          </rPr>
          <t xml:space="preserve">1) </t>
        </r>
        <r>
          <rPr>
            <sz val="12"/>
            <color rgb="FF000000"/>
            <rFont val="Malgun Gothic"/>
            <family val="2"/>
            <charset val="129"/>
          </rPr>
          <t>홈씨씨몰</t>
        </r>
        <r>
          <rPr>
            <sz val="12"/>
            <color rgb="FF000000"/>
            <rFont val="Malgun Gothic"/>
            <family val="2"/>
            <charset val="129"/>
          </rPr>
          <t xml:space="preserve"> </t>
        </r>
        <r>
          <rPr>
            <sz val="12"/>
            <color rgb="FF000000"/>
            <rFont val="Malgun Gothic"/>
            <family val="2"/>
            <charset val="129"/>
          </rPr>
          <t>이벤트페이지</t>
        </r>
        <r>
          <rPr>
            <sz val="12"/>
            <color rgb="FF000000"/>
            <rFont val="Malgun Gothic"/>
            <family val="2"/>
            <charset val="129"/>
          </rPr>
          <t xml:space="preserve">
</t>
        </r>
        <r>
          <rPr>
            <sz val="12"/>
            <color rgb="FF000000"/>
            <rFont val="Malgun Gothic"/>
            <family val="2"/>
            <charset val="129"/>
          </rPr>
          <t xml:space="preserve">https://www.homecc.com/plan/shop_plan_exhb_view.do?planexhb=PEM20220926000000103
</t>
        </r>
        <r>
          <rPr>
            <sz val="12"/>
            <color rgb="FF000000"/>
            <rFont val="Malgun Gothic"/>
            <family val="2"/>
            <charset val="129"/>
          </rPr>
          <t xml:space="preserve">
</t>
        </r>
        <r>
          <rPr>
            <sz val="12"/>
            <color rgb="FF000000"/>
            <rFont val="Malgun Gothic"/>
            <family val="2"/>
            <charset val="129"/>
          </rPr>
          <t xml:space="preserve">2) </t>
        </r>
        <r>
          <rPr>
            <sz val="12"/>
            <color rgb="FF000000"/>
            <rFont val="Malgun Gothic"/>
            <family val="2"/>
            <charset val="129"/>
          </rPr>
          <t>홈씨씨몰</t>
        </r>
        <r>
          <rPr>
            <sz val="12"/>
            <color rgb="FF000000"/>
            <rFont val="Malgun Gothic"/>
            <family val="2"/>
            <charset val="129"/>
          </rPr>
          <t xml:space="preserve"> ADMIN
</t>
        </r>
        <r>
          <rPr>
            <sz val="12"/>
            <color rgb="FF000000"/>
            <rFont val="Malgun Gothic"/>
            <family val="2"/>
            <charset val="129"/>
          </rPr>
          <t xml:space="preserve">https://manager.homecc.com/auth/us/auth_us_admin_login_form.do;jsessionid=96018642AA6E978130D425D990A34283.manager11?returnUrl=https%3A%2F%2Fmanager.homecc.com%2Fmain.do&amp;returnParam=&amp;i_sReturnUrl=&amp;i_sReturnParam=
</t>
        </r>
        <r>
          <rPr>
            <sz val="12"/>
            <color rgb="FF000000"/>
            <rFont val="Malgun Gothic"/>
            <family val="2"/>
            <charset val="129"/>
          </rPr>
          <t xml:space="preserve">
</t>
        </r>
        <r>
          <rPr>
            <sz val="12"/>
            <color rgb="FF000000"/>
            <rFont val="Malgun Gothic"/>
            <family val="2"/>
            <charset val="129"/>
          </rPr>
          <t xml:space="preserve">- ID : ADWIZ
</t>
        </r>
        <r>
          <rPr>
            <sz val="12"/>
            <color rgb="FF000000"/>
            <rFont val="Malgun Gothic"/>
            <family val="2"/>
            <charset val="129"/>
          </rPr>
          <t xml:space="preserve">- PW : veritas1!
</t>
        </r>
        <r>
          <rPr>
            <sz val="12"/>
            <color rgb="FF000000"/>
            <rFont val="Malgun Gothic"/>
            <family val="2"/>
            <charset val="129"/>
          </rPr>
          <t>(</t>
        </r>
        <r>
          <rPr>
            <sz val="12"/>
            <color rgb="FF000000"/>
            <rFont val="Malgun Gothic"/>
            <family val="2"/>
            <charset val="129"/>
          </rPr>
          <t>로그인</t>
        </r>
        <r>
          <rPr>
            <sz val="12"/>
            <color rgb="FF000000"/>
            <rFont val="Malgun Gothic"/>
            <family val="2"/>
            <charset val="129"/>
          </rPr>
          <t xml:space="preserve"> </t>
        </r>
        <r>
          <rPr>
            <sz val="12"/>
            <color rgb="FF000000"/>
            <rFont val="Malgun Gothic"/>
            <family val="2"/>
            <charset val="129"/>
          </rPr>
          <t>시</t>
        </r>
        <r>
          <rPr>
            <sz val="12"/>
            <color rgb="FF000000"/>
            <rFont val="Malgun Gothic"/>
            <family val="2"/>
            <charset val="129"/>
          </rPr>
          <t xml:space="preserve"> </t>
        </r>
        <r>
          <rPr>
            <sz val="12"/>
            <color rgb="FF000000"/>
            <rFont val="Malgun Gothic"/>
            <family val="2"/>
            <charset val="129"/>
          </rPr>
          <t>고객사로</t>
        </r>
        <r>
          <rPr>
            <sz val="12"/>
            <color rgb="FF000000"/>
            <rFont val="Malgun Gothic"/>
            <family val="2"/>
            <charset val="129"/>
          </rPr>
          <t xml:space="preserve"> </t>
        </r>
        <r>
          <rPr>
            <sz val="12"/>
            <color rgb="FF000000"/>
            <rFont val="Malgun Gothic"/>
            <family val="2"/>
            <charset val="129"/>
          </rPr>
          <t>인증</t>
        </r>
        <r>
          <rPr>
            <sz val="12"/>
            <color rgb="FF000000"/>
            <rFont val="Malgun Gothic"/>
            <family val="2"/>
            <charset val="129"/>
          </rPr>
          <t xml:space="preserve"> </t>
        </r>
        <r>
          <rPr>
            <sz val="12"/>
            <color rgb="FF000000"/>
            <rFont val="Malgun Gothic"/>
            <family val="2"/>
            <charset val="129"/>
          </rPr>
          <t>요청</t>
        </r>
        <r>
          <rPr>
            <sz val="12"/>
            <color rgb="FF000000"/>
            <rFont val="Malgun Gothic"/>
            <family val="2"/>
            <charset val="129"/>
          </rPr>
          <t xml:space="preserve"> → </t>
        </r>
        <r>
          <rPr>
            <sz val="12"/>
            <color rgb="FF000000"/>
            <rFont val="Malgun Gothic"/>
            <family val="2"/>
            <charset val="129"/>
          </rPr>
          <t>담당자</t>
        </r>
        <r>
          <rPr>
            <sz val="12"/>
            <color rgb="FF000000"/>
            <rFont val="Malgun Gothic"/>
            <family val="2"/>
            <charset val="129"/>
          </rPr>
          <t xml:space="preserve"> </t>
        </r>
        <r>
          <rPr>
            <sz val="12"/>
            <color rgb="FF000000"/>
            <rFont val="Malgun Gothic"/>
            <family val="2"/>
            <charset val="129"/>
          </rPr>
          <t>통해서</t>
        </r>
        <r>
          <rPr>
            <sz val="12"/>
            <color rgb="FF000000"/>
            <rFont val="Malgun Gothic"/>
            <family val="2"/>
            <charset val="129"/>
          </rPr>
          <t xml:space="preserve"> </t>
        </r>
        <r>
          <rPr>
            <sz val="12"/>
            <color rgb="FF000000"/>
            <rFont val="Malgun Gothic"/>
            <family val="2"/>
            <charset val="129"/>
          </rPr>
          <t>인증번호</t>
        </r>
        <r>
          <rPr>
            <sz val="12"/>
            <color rgb="FF000000"/>
            <rFont val="Malgun Gothic"/>
            <family val="2"/>
            <charset val="129"/>
          </rPr>
          <t xml:space="preserve"> </t>
        </r>
        <r>
          <rPr>
            <sz val="12"/>
            <color rgb="FF000000"/>
            <rFont val="Malgun Gothic"/>
            <family val="2"/>
            <charset val="129"/>
          </rPr>
          <t>공유</t>
        </r>
        <r>
          <rPr>
            <sz val="12"/>
            <color rgb="FF000000"/>
            <rFont val="Malgun Gothic"/>
            <family val="2"/>
            <charset val="129"/>
          </rPr>
          <t xml:space="preserve"> </t>
        </r>
        <r>
          <rPr>
            <sz val="12"/>
            <color rgb="FF000000"/>
            <rFont val="Malgun Gothic"/>
            <family val="2"/>
            <charset val="129"/>
          </rPr>
          <t>받아야</t>
        </r>
        <r>
          <rPr>
            <sz val="12"/>
            <color rgb="FF000000"/>
            <rFont val="Malgun Gothic"/>
            <family val="2"/>
            <charset val="129"/>
          </rPr>
          <t xml:space="preserve"> </t>
        </r>
        <r>
          <rPr>
            <sz val="12"/>
            <color rgb="FF000000"/>
            <rFont val="Malgun Gothic"/>
            <family val="2"/>
            <charset val="129"/>
          </rPr>
          <t>합니다</t>
        </r>
        <r>
          <rPr>
            <sz val="12"/>
            <color rgb="FF000000"/>
            <rFont val="Malgun Gothic"/>
            <family val="2"/>
            <charset val="129"/>
          </rPr>
          <t>.)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Microsoft Office User</author>
  </authors>
  <commentList>
    <comment ref="H7" authorId="0" shapeId="0" xr:uid="{63BE99B8-BEC0-AC41-B051-41D682D46A7C}">
      <text>
        <r>
          <rPr>
            <b/>
            <sz val="14"/>
            <color rgb="FF000000"/>
            <rFont val="Malgun Gothic"/>
            <family val="2"/>
            <charset val="129"/>
          </rPr>
          <t>Microsoft Office User:</t>
        </r>
        <r>
          <rPr>
            <sz val="14"/>
            <color rgb="FF000000"/>
            <rFont val="Malgun Gothic"/>
            <family val="2"/>
            <charset val="129"/>
          </rPr>
          <t xml:space="preserve">
</t>
        </r>
        <r>
          <rPr>
            <sz val="14"/>
            <color rgb="FF000000"/>
            <rFont val="Malgun Gothic"/>
            <family val="2"/>
            <charset val="129"/>
          </rPr>
          <t xml:space="preserve">https://us-east-1.console.aws.amazon.com/billing/home#/paymentpreferences/paymentmethods
</t>
        </r>
        <r>
          <rPr>
            <sz val="14"/>
            <color rgb="FF000000"/>
            <rFont val="Malgun Gothic"/>
            <family val="2"/>
            <charset val="129"/>
          </rPr>
          <t xml:space="preserve">license@veritasmedia.co.kr
</t>
        </r>
        <r>
          <rPr>
            <sz val="14"/>
            <color rgb="FF000000"/>
            <rFont val="Malgun Gothic"/>
            <family val="2"/>
            <charset val="129"/>
          </rPr>
          <t xml:space="preserve">qpflxktmaleu123!@#
</t>
        </r>
        <r>
          <rPr>
            <sz val="14"/>
            <color rgb="FF000000"/>
            <rFont val="Malgun Gothic"/>
            <family val="2"/>
            <charset val="129"/>
          </rPr>
          <t xml:space="preserve">
</t>
        </r>
        <r>
          <rPr>
            <sz val="14"/>
            <color rgb="FF000000"/>
            <rFont val="Malgun Gothic"/>
            <family val="2"/>
            <charset val="129"/>
          </rPr>
          <t>MFA</t>
        </r>
        <r>
          <rPr>
            <sz val="14"/>
            <color rgb="FF000000"/>
            <rFont val="Malgun Gothic"/>
            <family val="2"/>
            <charset val="129"/>
          </rPr>
          <t>코드</t>
        </r>
        <r>
          <rPr>
            <sz val="14"/>
            <color rgb="FF000000"/>
            <rFont val="Malgun Gothic"/>
            <family val="2"/>
            <charset val="129"/>
          </rPr>
          <t xml:space="preserve"> </t>
        </r>
        <r>
          <rPr>
            <sz val="14"/>
            <color rgb="FF000000"/>
            <rFont val="Malgun Gothic"/>
            <family val="2"/>
            <charset val="129"/>
          </rPr>
          <t>필요</t>
        </r>
      </text>
    </comment>
    <comment ref="H12" authorId="0" shapeId="0" xr:uid="{53AA88E5-261E-0645-973D-6C95038071C0}">
      <text>
        <r>
          <rPr>
            <b/>
            <sz val="16"/>
            <color rgb="FF000000"/>
            <rFont val="Malgun Gothic"/>
            <family val="2"/>
            <charset val="129"/>
          </rPr>
          <t>Microsoft Office User:</t>
        </r>
        <r>
          <rPr>
            <sz val="16"/>
            <color rgb="FF000000"/>
            <rFont val="Malgun Gothic"/>
            <family val="2"/>
            <charset val="129"/>
          </rPr>
          <t xml:space="preserve">
</t>
        </r>
        <r>
          <rPr>
            <b/>
            <sz val="16"/>
            <color rgb="FF000000"/>
            <rFont val="맑은 고딕"/>
            <family val="2"/>
            <charset val="129"/>
          </rPr>
          <t>Login with github.com</t>
        </r>
        <r>
          <rPr>
            <sz val="16"/>
            <color rgb="FF000000"/>
            <rFont val="맑은 고딕"/>
            <family val="2"/>
            <charset val="129"/>
          </rPr>
          <t xml:space="preserve">
</t>
        </r>
        <r>
          <rPr>
            <sz val="16"/>
            <color rgb="FF000000"/>
            <rFont val="맑은 고딕"/>
            <family val="2"/>
            <charset val="129"/>
          </rPr>
          <t xml:space="preserve">ai@veritasconnect.com / qpflxktm(*)!#%7 
</t>
        </r>
      </text>
    </comment>
    <comment ref="H13" authorId="0" shapeId="0" xr:uid="{924ADD91-89D8-9F43-AD17-190694EFDF3E}">
      <text>
        <r>
          <rPr>
            <b/>
            <sz val="16"/>
            <color rgb="FF000000"/>
            <rFont val="Malgun Gothic"/>
            <family val="2"/>
            <charset val="129"/>
          </rPr>
          <t>Microsoft Office User:</t>
        </r>
        <r>
          <rPr>
            <sz val="16"/>
            <color rgb="FF000000"/>
            <rFont val="Malgun Gothic"/>
            <family val="2"/>
            <charset val="129"/>
          </rPr>
          <t xml:space="preserve">
</t>
        </r>
        <r>
          <rPr>
            <b/>
            <sz val="16"/>
            <color rgb="FF000000"/>
            <rFont val="맑은 고딕"/>
            <family val="2"/>
            <charset val="129"/>
          </rPr>
          <t>Login with github.com</t>
        </r>
        <r>
          <rPr>
            <sz val="16"/>
            <color rgb="FF000000"/>
            <rFont val="맑은 고딕"/>
            <family val="2"/>
            <charset val="129"/>
          </rPr>
          <t xml:space="preserve">
</t>
        </r>
        <r>
          <rPr>
            <sz val="16"/>
            <color rgb="FF000000"/>
            <rFont val="맑은 고딕"/>
            <family val="2"/>
            <charset val="129"/>
          </rPr>
          <t xml:space="preserve">ai@veritasconnect.com / qpflxktm(*)!#%7 
</t>
        </r>
      </text>
    </comment>
    <comment ref="H16" authorId="0" shapeId="0" xr:uid="{F407A4D1-DE58-B04B-8FBC-B5C8E36DAD3C}">
      <text>
        <r>
          <rPr>
            <b/>
            <sz val="12"/>
            <color rgb="FF000000"/>
            <rFont val="Malgun Gothic"/>
            <family val="2"/>
            <charset val="129"/>
          </rPr>
          <t>Microsoft Office User:</t>
        </r>
        <r>
          <rPr>
            <sz val="12"/>
            <color rgb="FF000000"/>
            <rFont val="Malgun Gothic"/>
            <family val="2"/>
            <charset val="129"/>
          </rPr>
          <t xml:space="preserve">
</t>
        </r>
        <r>
          <rPr>
            <sz val="12"/>
            <color rgb="FF000000"/>
            <rFont val="Malgun Gothic"/>
            <family val="2"/>
            <charset val="129"/>
          </rPr>
          <t xml:space="preserve">[root@aip-dev ai_dev]# curl https://serpapi.com/account?api_key=fe63b268bfdb50c27120a343e5c3665c477d2e1977d4bc1634198d21b41fda6e
</t>
        </r>
        <r>
          <rPr>
            <sz val="12"/>
            <color rgb="FF000000"/>
            <rFont val="Malgun Gothic"/>
            <family val="2"/>
            <charset val="129"/>
          </rPr>
          <t xml:space="preserve">
</t>
        </r>
        <r>
          <rPr>
            <sz val="12"/>
            <color rgb="FF000000"/>
            <rFont val="Malgun Gothic"/>
            <family val="2"/>
            <charset val="129"/>
          </rPr>
          <t xml:space="preserve">
{
</t>
        </r>
        <r>
          <rPr>
            <sz val="12"/>
            <color rgb="FF000000"/>
            <rFont val="Malgun Gothic"/>
            <family val="2"/>
            <charset val="129"/>
          </rPr>
          <t xml:space="preserve">  "account_id": "6528d84f033e94054613fe2d",
</t>
        </r>
        <r>
          <rPr>
            <sz val="12"/>
            <color rgb="FF000000"/>
            <rFont val="Malgun Gothic"/>
            <family val="2"/>
            <charset val="129"/>
          </rPr>
          <t xml:space="preserve">  "api_key": "fe63b268bfdb50c27120a343e5c3665c477d2e1977d4bc1634198d21b41fda6e",
</t>
        </r>
        <r>
          <rPr>
            <b/>
            <sz val="12"/>
            <color rgb="FF000000"/>
            <rFont val="Malgun Gothic"/>
            <family val="2"/>
            <charset val="129"/>
          </rPr>
          <t xml:space="preserve">  "account_email": "ai@veritasconnect.com",
</t>
        </r>
        <r>
          <rPr>
            <sz val="12"/>
            <color rgb="FF000000"/>
            <rFont val="Malgun Gothic"/>
            <family val="2"/>
            <charset val="129"/>
          </rPr>
          <t xml:space="preserve">  "account_status": "Active",
</t>
        </r>
        <r>
          <rPr>
            <sz val="12"/>
            <color rgb="FF000000"/>
            <rFont val="Malgun Gothic"/>
            <family val="2"/>
            <charset val="129"/>
          </rPr>
          <t xml:space="preserve">  "plan_id": "developer_v2",
</t>
        </r>
        <r>
          <rPr>
            <b/>
            <sz val="12"/>
            <color rgb="FF000000"/>
            <rFont val="Malgun Gothic"/>
            <family val="2"/>
            <charset val="129"/>
          </rPr>
          <t xml:space="preserve">  "plan_name": "Developer Plan",
</t>
        </r>
        <r>
          <rPr>
            <b/>
            <sz val="12"/>
            <color rgb="FF000000"/>
            <rFont val="Malgun Gothic"/>
            <family val="2"/>
            <charset val="129"/>
          </rPr>
          <t xml:space="preserve">  "plan_monthly_price": 50.0,
</t>
        </r>
        <r>
          <rPr>
            <sz val="12"/>
            <color rgb="FF000000"/>
            <rFont val="Malgun Gothic"/>
            <family val="2"/>
            <charset val="129"/>
          </rPr>
          <t xml:space="preserve">  "searches_per_month": 5000,
</t>
        </r>
        <r>
          <rPr>
            <sz val="12"/>
            <color rgb="FF000000"/>
            <rFont val="Malgun Gothic"/>
            <family val="2"/>
            <charset val="129"/>
          </rPr>
          <t xml:space="preserve">  "plan_searches_left": 4659,
</t>
        </r>
        <r>
          <rPr>
            <sz val="12"/>
            <color rgb="FF000000"/>
            <rFont val="Malgun Gothic"/>
            <family val="2"/>
            <charset val="129"/>
          </rPr>
          <t xml:space="preserve">  "extra_credits": 0,
</t>
        </r>
        <r>
          <rPr>
            <sz val="12"/>
            <color rgb="FF000000"/>
            <rFont val="Malgun Gothic"/>
            <family val="2"/>
            <charset val="129"/>
          </rPr>
          <t xml:space="preserve">  "total_searches_left": 4659,
</t>
        </r>
        <r>
          <rPr>
            <sz val="12"/>
            <color rgb="FF000000"/>
            <rFont val="Malgun Gothic"/>
            <family val="2"/>
            <charset val="129"/>
          </rPr>
          <t xml:space="preserve">  "this_month_usage": 341,
</t>
        </r>
        <r>
          <rPr>
            <sz val="12"/>
            <color rgb="FF000000"/>
            <rFont val="Malgun Gothic"/>
            <family val="2"/>
            <charset val="129"/>
          </rPr>
          <t xml:space="preserve">  "this_hour_searches": 0,
</t>
        </r>
        <r>
          <rPr>
            <sz val="12"/>
            <color rgb="FF000000"/>
            <rFont val="Malgun Gothic"/>
            <family val="2"/>
            <charset val="129"/>
          </rPr>
          <t xml:space="preserve">  "last_hour_searches": 0,
</t>
        </r>
        <r>
          <rPr>
            <sz val="12"/>
            <color rgb="FF000000"/>
            <rFont val="Malgun Gothic"/>
            <family val="2"/>
            <charset val="129"/>
          </rPr>
          <t xml:space="preserve">  "account_rate_limit_per_hour": 1000
}</t>
        </r>
      </text>
    </comment>
  </commentList>
</comments>
</file>

<file path=xl/sharedStrings.xml><?xml version="1.0" encoding="utf-8"?>
<sst xmlns="http://schemas.openxmlformats.org/spreadsheetml/2006/main" count="885" uniqueCount="594">
  <si>
    <t>구분</t>
    <phoneticPr fontId="3" type="noConversion"/>
  </si>
  <si>
    <t>URL</t>
    <phoneticPr fontId="3" type="noConversion"/>
  </si>
  <si>
    <t>Server</t>
    <phoneticPr fontId="3" type="noConversion"/>
  </si>
  <si>
    <t>PORT</t>
    <phoneticPr fontId="3" type="noConversion"/>
  </si>
  <si>
    <t>ID</t>
    <phoneticPr fontId="3" type="noConversion"/>
  </si>
  <si>
    <t>PWD</t>
    <phoneticPr fontId="3" type="noConversion"/>
  </si>
  <si>
    <t>DB</t>
    <phoneticPr fontId="3" type="noConversion"/>
  </si>
  <si>
    <t>인프라(공통)</t>
    <phoneticPr fontId="3" type="noConversion"/>
  </si>
  <si>
    <t>Service_name</t>
    <phoneticPr fontId="3" type="noConversion"/>
  </si>
  <si>
    <t>[AI_메인]</t>
    <phoneticPr fontId="3" type="noConversion"/>
  </si>
  <si>
    <t>https://zusam.ai</t>
    <phoneticPr fontId="3" type="noConversion"/>
  </si>
  <si>
    <t>IP</t>
    <phoneticPr fontId="3" type="noConversion"/>
  </si>
  <si>
    <t>Cloud</t>
    <phoneticPr fontId="3" type="noConversion"/>
  </si>
  <si>
    <t>ACG</t>
    <phoneticPr fontId="3" type="noConversion"/>
  </si>
  <si>
    <t>CERT(SSL)</t>
    <phoneticPr fontId="3" type="noConversion"/>
  </si>
  <si>
    <t>NCP</t>
    <phoneticPr fontId="3" type="noConversion"/>
  </si>
  <si>
    <t>zusam-ml-2</t>
    <phoneticPr fontId="3" type="noConversion"/>
  </si>
  <si>
    <t>115.85.181.93</t>
    <phoneticPr fontId="3" type="noConversion"/>
  </si>
  <si>
    <t>docker Container</t>
    <phoneticPr fontId="3" type="noConversion"/>
  </si>
  <si>
    <t xml:space="preserve">[AI_챗기반] </t>
    <phoneticPr fontId="3" type="noConversion"/>
  </si>
  <si>
    <t>https://chat.zusam.ai</t>
    <phoneticPr fontId="3" type="noConversion"/>
  </si>
  <si>
    <t>/usr/lib/systemd/system/zusam.service</t>
    <phoneticPr fontId="3" type="noConversion"/>
  </si>
  <si>
    <t>nginx/streamlit</t>
    <phoneticPr fontId="3" type="noConversion"/>
  </si>
  <si>
    <t>Web_Server/Framework</t>
    <phoneticPr fontId="3" type="noConversion"/>
  </si>
  <si>
    <t>Envs</t>
    <phoneticPr fontId="3" type="noConversion"/>
  </si>
  <si>
    <t>Source_Path</t>
    <phoneticPr fontId="3" type="noConversion"/>
  </si>
  <si>
    <t>/data/app/zusam_v2</t>
    <phoneticPr fontId="3" type="noConversion"/>
  </si>
  <si>
    <t>/data/app/zusam_v2/env_zusam</t>
    <phoneticPr fontId="3" type="noConversion"/>
  </si>
  <si>
    <t xml:space="preserve">[AI_SEO분석] </t>
    <phoneticPr fontId="3" type="noConversion"/>
  </si>
  <si>
    <t>https://seo.zusam.ai</t>
    <phoneticPr fontId="3" type="noConversion"/>
  </si>
  <si>
    <t>chat.zusam.ai</t>
    <phoneticPr fontId="3" type="noConversion"/>
  </si>
  <si>
    <t xml:space="preserve">[AI_SNS분석] </t>
    <phoneticPr fontId="3" type="noConversion"/>
  </si>
  <si>
    <t>https://sns.zusam.ai</t>
    <phoneticPr fontId="3" type="noConversion"/>
  </si>
  <si>
    <t>/data/app/seo_report/</t>
    <phoneticPr fontId="3" type="noConversion"/>
  </si>
  <si>
    <t>/data/app/seo_report/env_seo/</t>
    <phoneticPr fontId="3" type="noConversion"/>
  </si>
  <si>
    <t>https://keyword.zusam.ai</t>
    <phoneticPr fontId="3" type="noConversion"/>
  </si>
  <si>
    <t>운영</t>
    <phoneticPr fontId="3" type="noConversion"/>
  </si>
  <si>
    <t>유지보수</t>
    <phoneticPr fontId="3" type="noConversion"/>
  </si>
  <si>
    <t>미래에셋증권</t>
    <phoneticPr fontId="3" type="noConversion"/>
  </si>
  <si>
    <t>카카오페이증권</t>
    <phoneticPr fontId="3" type="noConversion"/>
  </si>
  <si>
    <t>케이프투자증권</t>
    <phoneticPr fontId="3" type="noConversion"/>
  </si>
  <si>
    <t>IBK투자증권</t>
    <phoneticPr fontId="3" type="noConversion"/>
  </si>
  <si>
    <t>신규 서비스</t>
    <phoneticPr fontId="3" type="noConversion"/>
  </si>
  <si>
    <t>매출관리시스템_v1(PHP)</t>
    <phoneticPr fontId="3" type="noConversion"/>
  </si>
  <si>
    <t>매출관리시스템_v2(Streamlit)</t>
    <phoneticPr fontId="3" type="noConversion"/>
  </si>
  <si>
    <t>경비관리시스템_v1(Streamlit)</t>
    <phoneticPr fontId="3" type="noConversion"/>
  </si>
  <si>
    <t>https://sales.veritasconnect.com:8503</t>
    <phoneticPr fontId="3" type="noConversion"/>
  </si>
  <si>
    <t>https://sales.veritasmedia.co.kr</t>
    <phoneticPr fontId="3" type="noConversion"/>
  </si>
  <si>
    <t>https://sales.veritasconnect.com:8507</t>
    <phoneticPr fontId="3" type="noConversion"/>
  </si>
  <si>
    <t>홈페이지</t>
    <phoneticPr fontId="3" type="noConversion"/>
  </si>
  <si>
    <t>https://veritasconnect.com</t>
    <phoneticPr fontId="3" type="noConversion"/>
  </si>
  <si>
    <t>Report Center(DA/SA Report)</t>
    <phoneticPr fontId="3" type="noConversion"/>
  </si>
  <si>
    <t>https://report.veritasconnect.com</t>
    <phoneticPr fontId="3" type="noConversion"/>
  </si>
  <si>
    <t xml:space="preserve">http://223.130.154.29:3000/ebiz/pc </t>
    <phoneticPr fontId="3" type="noConversion"/>
  </si>
  <si>
    <t xml:space="preserve">[FRONT] </t>
    <phoneticPr fontId="3" type="noConversion"/>
  </si>
  <si>
    <t>[ADMIN]</t>
    <phoneticPr fontId="3" type="noConversion"/>
  </si>
  <si>
    <t>http://223.130.154.29:3000/auth/login</t>
    <phoneticPr fontId="3" type="noConversion"/>
  </si>
  <si>
    <t>test</t>
    <phoneticPr fontId="3" type="noConversion"/>
  </si>
  <si>
    <t>webadmin</t>
    <phoneticPr fontId="3" type="noConversion"/>
  </si>
  <si>
    <t>qpflxktm(*)!#%</t>
    <phoneticPr fontId="3" type="noConversion"/>
  </si>
  <si>
    <t>https://hantu.zusam.ai:8509</t>
    <phoneticPr fontId="3" type="noConversion"/>
  </si>
  <si>
    <t>zusam</t>
    <phoneticPr fontId="3" type="noConversion"/>
  </si>
  <si>
    <t>Coway Report Center</t>
    <phoneticPr fontId="3" type="noConversion"/>
  </si>
  <si>
    <t>UTM Validator</t>
    <phoneticPr fontId="3" type="noConversion"/>
  </si>
  <si>
    <t xml:space="preserve">https://report.veritasconnect.com/utm/ </t>
    <phoneticPr fontId="3" type="noConversion"/>
  </si>
  <si>
    <t>Report</t>
    <phoneticPr fontId="3" type="noConversion"/>
  </si>
  <si>
    <t>http://192.168.1.5/analysis/daily/veritas2024</t>
    <phoneticPr fontId="3" type="noConversion"/>
  </si>
  <si>
    <t xml:space="preserve">[AI_KEYWORD분석] </t>
    <phoneticPr fontId="3" type="noConversion"/>
  </si>
  <si>
    <t>WEB UI LIBRARY</t>
    <phoneticPr fontId="3" type="noConversion"/>
  </si>
  <si>
    <t xml:space="preserve">http://web.zusam.ai </t>
    <phoneticPr fontId="3" type="noConversion"/>
  </si>
  <si>
    <t>[AI_객체인식]</t>
    <phoneticPr fontId="3" type="noConversion"/>
  </si>
  <si>
    <t>[AI_UI 생성]</t>
    <phoneticPr fontId="3" type="noConversion"/>
  </si>
  <si>
    <t xml:space="preserve">https://yolo.zusam.ai </t>
    <phoneticPr fontId="3" type="noConversion"/>
  </si>
  <si>
    <t xml:space="preserve">https://ui.zusam.ai </t>
    <phoneticPr fontId="3" type="noConversion"/>
  </si>
  <si>
    <t>[AI_통합메타검색엔진]</t>
    <phoneticPr fontId="3" type="noConversion"/>
  </si>
  <si>
    <t>https://search.zusam.ai</t>
    <phoneticPr fontId="3" type="noConversion"/>
  </si>
  <si>
    <t>https://zusam.im</t>
    <phoneticPr fontId="3" type="noConversion"/>
  </si>
  <si>
    <t>https://tools.zusam.ai</t>
    <phoneticPr fontId="3" type="noConversion"/>
  </si>
  <si>
    <t>[AI_API]</t>
  </si>
  <si>
    <t>https://api.zusam.ai/api/docs</t>
    <phoneticPr fontId="3" type="noConversion"/>
  </si>
  <si>
    <t>Services(Start Script)</t>
    <phoneticPr fontId="3" type="noConversion"/>
  </si>
  <si>
    <t>Web app</t>
  </si>
  <si>
    <t>Web app</t>
    <phoneticPr fontId="3" type="noConversion"/>
  </si>
  <si>
    <t>native Web view/Web app</t>
    <phoneticPr fontId="3" type="noConversion"/>
  </si>
  <si>
    <t>http://zusam.ai:11434</t>
    <phoneticPr fontId="3" type="noConversion"/>
  </si>
  <si>
    <t>[AI_API] OLLAMA</t>
    <phoneticPr fontId="3" type="noConversion"/>
  </si>
  <si>
    <t>211.188.61.202</t>
    <phoneticPr fontId="3" type="noConversion"/>
  </si>
  <si>
    <t>MacMini_Local</t>
    <phoneticPr fontId="3" type="noConversion"/>
  </si>
  <si>
    <t>AWS</t>
    <phoneticPr fontId="3" type="noConversion"/>
  </si>
  <si>
    <t>certbot</t>
    <phoneticPr fontId="3" type="noConversion"/>
  </si>
  <si>
    <t>VAP(V. Affiliate Platform)</t>
    <phoneticPr fontId="3" type="noConversion"/>
  </si>
  <si>
    <t>https://vap.veritasconnect.com</t>
    <phoneticPr fontId="3" type="noConversion"/>
  </si>
  <si>
    <t>118.67.131.218</t>
    <phoneticPr fontId="3" type="noConversion"/>
  </si>
  <si>
    <t>veritasconnect-report</t>
    <phoneticPr fontId="3" type="noConversion"/>
  </si>
  <si>
    <t>HostName/InstanceID</t>
    <phoneticPr fontId="3" type="noConversion"/>
  </si>
  <si>
    <t>49.50.163.198</t>
    <phoneticPr fontId="3" type="noConversion"/>
  </si>
  <si>
    <t xml:space="preserve">veritasconnect-infra </t>
    <phoneticPr fontId="3" type="noConversion"/>
  </si>
  <si>
    <t>101.101.217.176</t>
    <phoneticPr fontId="3" type="noConversion"/>
  </si>
  <si>
    <t>veritasmedia-main-web</t>
    <phoneticPr fontId="3" type="noConversion"/>
  </si>
  <si>
    <t>ID / AIM</t>
    <phoneticPr fontId="3" type="noConversion"/>
  </si>
  <si>
    <t>webadmin@veritasmedia.co.kr</t>
    <phoneticPr fontId="3" type="noConversion"/>
  </si>
  <si>
    <t>Type</t>
    <phoneticPr fontId="3" type="noConversion"/>
  </si>
  <si>
    <t>Classic</t>
    <phoneticPr fontId="3" type="noConversion"/>
  </si>
  <si>
    <t>centos-7.8-64</t>
    <phoneticPr fontId="3" type="noConversion"/>
  </si>
  <si>
    <t>OS/Image</t>
    <phoneticPr fontId="3" type="noConversion"/>
  </si>
  <si>
    <t>Server Spec</t>
    <phoneticPr fontId="3" type="noConversion"/>
  </si>
  <si>
    <t>IP(Public)</t>
    <phoneticPr fontId="3" type="noConversion"/>
  </si>
  <si>
    <t>zusam-ml</t>
    <phoneticPr fontId="3" type="noConversion"/>
  </si>
  <si>
    <t>[Standard] 4vCPU, 16GB Mem, 50GB Disk [g2]</t>
    <phoneticPr fontId="3" type="noConversion"/>
  </si>
  <si>
    <r>
      <rPr>
        <sz val="12"/>
        <color rgb="FFFF0000"/>
        <rFont val="맑은 고딕 (본문)"/>
        <family val="3"/>
        <charset val="129"/>
      </rPr>
      <t xml:space="preserve">[GPU] </t>
    </r>
    <r>
      <rPr>
        <sz val="12"/>
        <color rgb="FFFF0000"/>
        <rFont val="맑은 고딕"/>
        <family val="2"/>
        <charset val="129"/>
        <scheme val="minor"/>
      </rPr>
      <t>Tesla P40 2GPU, 8vCPU, 60GB Mem, 50GB Disk [g1]</t>
    </r>
    <phoneticPr fontId="3" type="noConversion"/>
  </si>
  <si>
    <t>SSH IP/PORT</t>
    <phoneticPr fontId="3" type="noConversion"/>
  </si>
  <si>
    <t>veritas-report</t>
    <phoneticPr fontId="3" type="noConversion"/>
  </si>
  <si>
    <t>vm-resource</t>
    <phoneticPr fontId="3" type="noConversion"/>
  </si>
  <si>
    <t>[Standard] 2vCPU, 4GB Mem, 50GB Disk [g1]</t>
    <phoneticPr fontId="3" type="noConversion"/>
  </si>
  <si>
    <r>
      <t>106.10.40.234/</t>
    </r>
    <r>
      <rPr>
        <sz val="12"/>
        <color rgb="FF00B050"/>
        <rFont val="맑은 고딕 (본문)"/>
        <family val="3"/>
        <charset val="129"/>
      </rPr>
      <t>33908</t>
    </r>
    <phoneticPr fontId="3" type="noConversion"/>
  </si>
  <si>
    <r>
      <t>106.10.40.234/</t>
    </r>
    <r>
      <rPr>
        <sz val="12"/>
        <color rgb="FF00B050"/>
        <rFont val="맑은 고딕 (본문)"/>
        <family val="3"/>
        <charset val="129"/>
      </rPr>
      <t>10001</t>
    </r>
    <phoneticPr fontId="3" type="noConversion"/>
  </si>
  <si>
    <r>
      <t>106.10.40.234/</t>
    </r>
    <r>
      <rPr>
        <sz val="12"/>
        <color rgb="FF00B050"/>
        <rFont val="맑은 고딕 (본문)"/>
        <family val="3"/>
        <charset val="129"/>
      </rPr>
      <t>33909</t>
    </r>
    <phoneticPr fontId="3" type="noConversion"/>
  </si>
  <si>
    <t>101.101.208.246</t>
    <phoneticPr fontId="3" type="noConversion"/>
  </si>
  <si>
    <t>dangolmart-web</t>
    <phoneticPr fontId="3" type="noConversion"/>
  </si>
  <si>
    <r>
      <t>106.10.40.234/</t>
    </r>
    <r>
      <rPr>
        <sz val="12"/>
        <color rgb="FF00B050"/>
        <rFont val="맑은 고딕 (본문)"/>
        <family val="3"/>
        <charset val="129"/>
      </rPr>
      <t>1024</t>
    </r>
    <phoneticPr fontId="3" type="noConversion"/>
  </si>
  <si>
    <t>49.50.172.162</t>
    <phoneticPr fontId="3" type="noConversion"/>
  </si>
  <si>
    <t>ncloud-default-acg</t>
    <phoneticPr fontId="3" type="noConversion"/>
  </si>
  <si>
    <t xml:space="preserve">CentOS 7.8 </t>
    <phoneticPr fontId="3" type="noConversion"/>
  </si>
  <si>
    <r>
      <t xml:space="preserve">[Standard] </t>
    </r>
    <r>
      <rPr>
        <sz val="12"/>
        <color rgb="FFFF0000"/>
        <rFont val="맑은 고딕 (본문)"/>
        <family val="3"/>
        <charset val="129"/>
      </rPr>
      <t>4vCPU</t>
    </r>
    <r>
      <rPr>
        <sz val="12"/>
        <color theme="4"/>
        <rFont val="맑은 고딕"/>
        <family val="2"/>
        <charset val="129"/>
        <scheme val="minor"/>
      </rPr>
      <t xml:space="preserve">, </t>
    </r>
    <r>
      <rPr>
        <sz val="12"/>
        <color rgb="FFFF0000"/>
        <rFont val="맑은 고딕 (본문)"/>
        <family val="3"/>
        <charset val="129"/>
      </rPr>
      <t>16GB Mem</t>
    </r>
    <r>
      <rPr>
        <sz val="12"/>
        <color theme="4"/>
        <rFont val="맑은 고딕"/>
        <family val="2"/>
        <charset val="129"/>
        <scheme val="minor"/>
      </rPr>
      <t>, 50GB Disk [g2]</t>
    </r>
    <phoneticPr fontId="3" type="noConversion"/>
  </si>
  <si>
    <r>
      <t>106.10.40.234/</t>
    </r>
    <r>
      <rPr>
        <sz val="12"/>
        <color rgb="FF00B050"/>
        <rFont val="맑은 고딕 (본문)"/>
        <family val="3"/>
        <charset val="129"/>
      </rPr>
      <t>33905</t>
    </r>
    <phoneticPr fontId="3" type="noConversion"/>
  </si>
  <si>
    <t>veritasconnect-infra</t>
    <phoneticPr fontId="3" type="noConversion"/>
  </si>
  <si>
    <t>AuthKey</t>
    <phoneticPr fontId="3" type="noConversion"/>
  </si>
  <si>
    <t>emr_new</t>
    <phoneticPr fontId="3" type="noConversion"/>
  </si>
  <si>
    <r>
      <t xml:space="preserve">[Standard] 2vCPU, </t>
    </r>
    <r>
      <rPr>
        <sz val="12"/>
        <color rgb="FFFF0000"/>
        <rFont val="맑은 고딕 (본문)"/>
        <family val="3"/>
        <charset val="129"/>
      </rPr>
      <t>8GB Mem</t>
    </r>
    <r>
      <rPr>
        <sz val="12"/>
        <color theme="4"/>
        <rFont val="맑은 고딕"/>
        <family val="2"/>
        <charset val="129"/>
        <scheme val="minor"/>
      </rPr>
      <t>, 50GB Disk [g2]</t>
    </r>
    <phoneticPr fontId="3" type="noConversion"/>
  </si>
  <si>
    <r>
      <t>106.10.40.234/</t>
    </r>
    <r>
      <rPr>
        <sz val="12"/>
        <color rgb="FF00B050"/>
        <rFont val="맑은 고딕 (본문)"/>
        <family val="3"/>
        <charset val="129"/>
      </rPr>
      <t>33904</t>
    </r>
    <phoneticPr fontId="3" type="noConversion"/>
  </si>
  <si>
    <t>veritasmedia-emr</t>
    <phoneticPr fontId="3" type="noConversion"/>
  </si>
  <si>
    <t>veritasmedia-main-db</t>
    <phoneticPr fontId="3" type="noConversion"/>
  </si>
  <si>
    <r>
      <t xml:space="preserve">[Standard] </t>
    </r>
    <r>
      <rPr>
        <sz val="12"/>
        <color rgb="FFFF0000"/>
        <rFont val="맑은 고딕 (본문)"/>
        <family val="3"/>
        <charset val="129"/>
      </rPr>
      <t>4vCPU</t>
    </r>
    <r>
      <rPr>
        <sz val="12"/>
        <color theme="4"/>
        <rFont val="맑은 고딕"/>
        <family val="2"/>
        <charset val="129"/>
        <scheme val="minor"/>
      </rPr>
      <t xml:space="preserve">, </t>
    </r>
    <r>
      <rPr>
        <sz val="12"/>
        <color rgb="FFFF0000"/>
        <rFont val="맑은 고딕 (본문)"/>
        <family val="3"/>
        <charset val="129"/>
      </rPr>
      <t>8GB Mem</t>
    </r>
    <r>
      <rPr>
        <sz val="12"/>
        <color theme="4"/>
        <rFont val="맑은 고딕"/>
        <family val="2"/>
        <charset val="129"/>
        <scheme val="minor"/>
      </rPr>
      <t>, 50GB Disk [g1]</t>
    </r>
    <phoneticPr fontId="3" type="noConversion"/>
  </si>
  <si>
    <r>
      <t>106.10.40.234/</t>
    </r>
    <r>
      <rPr>
        <sz val="12"/>
        <color rgb="FF00B050"/>
        <rFont val="맑은 고딕 (본문)"/>
        <family val="3"/>
        <charset val="129"/>
      </rPr>
      <t>33902</t>
    </r>
    <phoneticPr fontId="3" type="noConversion"/>
  </si>
  <si>
    <t>118.67.143.245</t>
    <phoneticPr fontId="3" type="noConversion"/>
  </si>
  <si>
    <t>veritasmedia-db</t>
    <phoneticPr fontId="3" type="noConversion"/>
  </si>
  <si>
    <t>CentOS 6.6</t>
    <phoneticPr fontId="3" type="noConversion"/>
  </si>
  <si>
    <t>nc-veritasmedia</t>
    <phoneticPr fontId="3" type="noConversion"/>
  </si>
  <si>
    <t>veritasmedia</t>
    <phoneticPr fontId="3" type="noConversion"/>
  </si>
  <si>
    <t>220.230.114.221</t>
    <phoneticPr fontId="3" type="noConversion"/>
  </si>
  <si>
    <t>centos-6.6-64</t>
    <phoneticPr fontId="3" type="noConversion"/>
  </si>
  <si>
    <r>
      <t>220.230.119.30/</t>
    </r>
    <r>
      <rPr>
        <sz val="12"/>
        <color rgb="FF00B050"/>
        <rFont val="맑은 고딕 (본문)"/>
        <family val="3"/>
        <charset val="129"/>
      </rPr>
      <t>1044</t>
    </r>
    <phoneticPr fontId="3" type="noConversion"/>
  </si>
  <si>
    <t>220.230.119.236</t>
    <phoneticPr fontId="3" type="noConversion"/>
  </si>
  <si>
    <r>
      <t xml:space="preserve">[SSD] zusam-ml-data  </t>
    </r>
    <r>
      <rPr>
        <sz val="12"/>
        <color rgb="FFFF0000"/>
        <rFont val="맑은 고딕 (본문)"/>
        <family val="3"/>
        <charset val="129"/>
      </rPr>
      <t>1000 GB</t>
    </r>
    <r>
      <rPr>
        <sz val="12"/>
        <color rgb="FFFF0000"/>
        <rFont val="맑은 고딕 (본문)"/>
        <family val="3"/>
        <charset val="129"/>
      </rPr>
      <t xml:space="preserve"> /dev/xvdb</t>
    </r>
    <phoneticPr fontId="3" type="noConversion"/>
  </si>
  <si>
    <t>[SSD] veritasconnect-report-data  500 GB /dev/xvdb</t>
    <phoneticPr fontId="3" type="noConversion"/>
  </si>
  <si>
    <t>Storage(Default 50GB)</t>
    <phoneticPr fontId="3" type="noConversion"/>
  </si>
  <si>
    <t>dangolmart2</t>
    <phoneticPr fontId="3" type="noConversion"/>
  </si>
  <si>
    <t>VPC</t>
    <phoneticPr fontId="3" type="noConversion"/>
  </si>
  <si>
    <t>zusam-ui</t>
    <phoneticPr fontId="3" type="noConversion"/>
  </si>
  <si>
    <t>Rocky Linux 8.10</t>
    <phoneticPr fontId="3" type="noConversion"/>
  </si>
  <si>
    <t>ci4-g2-s50(vCPU 4EA, Memory 8GB, [SSD]Disk 50GB)</t>
    <phoneticPr fontId="3" type="noConversion"/>
  </si>
  <si>
    <r>
      <t>211.188.61.202/</t>
    </r>
    <r>
      <rPr>
        <sz val="12"/>
        <color rgb="FFFF0000"/>
        <rFont val="맑은 고딕 (본문)"/>
        <family val="3"/>
        <charset val="129"/>
      </rPr>
      <t>Default</t>
    </r>
    <phoneticPr fontId="3" type="noConversion"/>
  </si>
  <si>
    <r>
      <t>220.230.119.30/</t>
    </r>
    <r>
      <rPr>
        <sz val="12"/>
        <color rgb="FFFF0000"/>
        <rFont val="맑은 고딕 (본문)"/>
        <family val="3"/>
        <charset val="129"/>
      </rPr>
      <t>Default</t>
    </r>
    <phoneticPr fontId="3" type="noConversion"/>
  </si>
  <si>
    <r>
      <t xml:space="preserve">zusam-ui-storage | SSD | </t>
    </r>
    <r>
      <rPr>
        <sz val="12"/>
        <color rgb="FFFF0000"/>
        <rFont val="맑은 고딕 (본문)"/>
        <family val="3"/>
        <charset val="129"/>
      </rPr>
      <t>200 GB</t>
    </r>
    <r>
      <rPr>
        <sz val="12"/>
        <color theme="1"/>
        <rFont val="맑은 고딕"/>
        <family val="2"/>
        <charset val="129"/>
        <scheme val="minor"/>
      </rPr>
      <t xml:space="preserve"> | /dev/xvdb</t>
    </r>
    <phoneticPr fontId="3" type="noConversion"/>
  </si>
  <si>
    <t>-</t>
    <phoneticPr fontId="3" type="noConversion"/>
  </si>
  <si>
    <t>vap-affilate</t>
    <phoneticPr fontId="3" type="noConversion"/>
  </si>
  <si>
    <t>s4-g2-s50(vCPU 4EA, Memory 16GB, [SSD]Disk 50GB)</t>
    <phoneticPr fontId="3" type="noConversion"/>
  </si>
  <si>
    <t>175.45.194.87</t>
    <phoneticPr fontId="3" type="noConversion"/>
  </si>
  <si>
    <r>
      <t xml:space="preserve">vap-affilate-storage | SSD | </t>
    </r>
    <r>
      <rPr>
        <sz val="12"/>
        <color rgb="FFFF0000"/>
        <rFont val="맑은 고딕 (본문)"/>
        <family val="3"/>
        <charset val="129"/>
      </rPr>
      <t>150 GB</t>
    </r>
    <r>
      <rPr>
        <sz val="12"/>
        <color theme="1"/>
        <rFont val="맑은 고딕"/>
        <family val="2"/>
        <charset val="129"/>
        <scheme val="minor"/>
      </rPr>
      <t xml:space="preserve"> | /dev/xvdb</t>
    </r>
    <phoneticPr fontId="3" type="noConversion"/>
  </si>
  <si>
    <r>
      <t>175.45.194.87/</t>
    </r>
    <r>
      <rPr>
        <sz val="12"/>
        <color rgb="FFFF0000"/>
        <rFont val="맑은 고딕 (본문)"/>
        <family val="3"/>
        <charset val="129"/>
      </rPr>
      <t>Default</t>
    </r>
    <phoneticPr fontId="3" type="noConversion"/>
  </si>
  <si>
    <t>miraeasset</t>
    <phoneticPr fontId="3" type="noConversion"/>
  </si>
  <si>
    <t>mdev</t>
    <phoneticPr fontId="3" type="noConversion"/>
  </si>
  <si>
    <t xml:space="preserve">miraeasset@veritasmedia.co.kr </t>
    <phoneticPr fontId="3" type="noConversion"/>
  </si>
  <si>
    <t>centos-7.3-64</t>
    <phoneticPr fontId="3" type="noConversion"/>
  </si>
  <si>
    <r>
      <t xml:space="preserve">[HDD] miraeHdd  </t>
    </r>
    <r>
      <rPr>
        <sz val="12"/>
        <color rgb="FFFF0000"/>
        <rFont val="맑은 고딕 (본문)"/>
        <family val="3"/>
        <charset val="129"/>
      </rPr>
      <t>1000 GB</t>
    </r>
    <r>
      <rPr>
        <sz val="12"/>
        <color theme="1"/>
        <rFont val="맑은 고딕"/>
        <family val="2"/>
        <charset val="129"/>
        <scheme val="minor"/>
      </rPr>
      <t xml:space="preserve"> /dev/xvdb</t>
    </r>
    <phoneticPr fontId="3" type="noConversion"/>
  </si>
  <si>
    <t>106.10.33.167</t>
    <phoneticPr fontId="3" type="noConversion"/>
  </si>
  <si>
    <r>
      <t>101.101.167.16/</t>
    </r>
    <r>
      <rPr>
        <sz val="12"/>
        <color rgb="FF00B050"/>
        <rFont val="맑은 고딕 (본문)"/>
        <family val="3"/>
        <charset val="129"/>
      </rPr>
      <t>1024</t>
    </r>
    <phoneticPr fontId="3" type="noConversion"/>
  </si>
  <si>
    <t>partnersclub.co.kr</t>
    <phoneticPr fontId="3" type="noConversion"/>
  </si>
  <si>
    <t>Service</t>
    <phoneticPr fontId="3" type="noConversion"/>
  </si>
  <si>
    <t>unmeglobal</t>
    <phoneticPr fontId="3" type="noConversion"/>
  </si>
  <si>
    <t>LAMP-centos-7.3.64</t>
    <phoneticPr fontId="3" type="noConversion"/>
  </si>
  <si>
    <t>49.50.172.195</t>
    <phoneticPr fontId="3" type="noConversion"/>
  </si>
  <si>
    <t>daemyungevent</t>
    <phoneticPr fontId="3" type="noConversion"/>
  </si>
  <si>
    <t>koreainvestment-event-com-1</t>
    <phoneticPr fontId="3" type="noConversion"/>
  </si>
  <si>
    <t>ubuntu-22.04-base</t>
    <phoneticPr fontId="3" type="noConversion"/>
  </si>
  <si>
    <t>ci2-g3(vCPU 2EA, Memory 4GB)</t>
    <phoneticPr fontId="3" type="noConversion"/>
  </si>
  <si>
    <t>223.130.154.29</t>
    <phoneticPr fontId="3" type="noConversion"/>
  </si>
  <si>
    <t>koreainvestment</t>
    <phoneticPr fontId="3" type="noConversion"/>
  </si>
  <si>
    <t>koreainvestment-dev</t>
    <phoneticPr fontId="3" type="noConversion"/>
  </si>
  <si>
    <t>m2-g3(vCPU 2EA, Memory 16GB)</t>
    <phoneticPr fontId="3" type="noConversion"/>
  </si>
  <si>
    <t>211.188.52.193</t>
    <phoneticPr fontId="3" type="noConversion"/>
  </si>
  <si>
    <t>koreainvestment-api</t>
    <phoneticPr fontId="3" type="noConversion"/>
  </si>
  <si>
    <t>s2-g3(vCPU 2EA, Memory 8GB)</t>
    <phoneticPr fontId="3" type="noConversion"/>
  </si>
  <si>
    <t>211.188.54.248</t>
    <phoneticPr fontId="3" type="noConversion"/>
  </si>
  <si>
    <t>koreainvestment-pension-1</t>
    <phoneticPr fontId="3" type="noConversion"/>
  </si>
  <si>
    <t>211.188.58.158</t>
    <phoneticPr fontId="3" type="noConversion"/>
  </si>
  <si>
    <t>koreainvestment-event-2</t>
    <phoneticPr fontId="3" type="noConversion"/>
  </si>
  <si>
    <t>koreainvestment-event</t>
    <phoneticPr fontId="3" type="noConversion"/>
  </si>
  <si>
    <t>223.130.161.133</t>
    <phoneticPr fontId="3" type="noConversion"/>
  </si>
  <si>
    <t>koreainvestment-event-1</t>
    <phoneticPr fontId="3" type="noConversion"/>
  </si>
  <si>
    <t>175.45.201.65</t>
    <phoneticPr fontId="3" type="noConversion"/>
  </si>
  <si>
    <t>LB</t>
    <phoneticPr fontId="3" type="noConversion"/>
  </si>
  <si>
    <t>koreainvestment-pension-com</t>
    <phoneticPr fontId="3" type="noConversion"/>
  </si>
  <si>
    <t>koreainvestment-pension-com-102514437-96d7d508116c.kr.lb.naverncp.com</t>
    <phoneticPr fontId="3" type="noConversion"/>
  </si>
  <si>
    <t>223.130.131.82</t>
    <phoneticPr fontId="3" type="noConversion"/>
  </si>
  <si>
    <t>koreainvestment-event-com</t>
    <phoneticPr fontId="3" type="noConversion"/>
  </si>
  <si>
    <t>koreainvestment-event-com-102151686-472e31d28ac3.kr.lb.naverncp.com</t>
    <phoneticPr fontId="3" type="noConversion"/>
  </si>
  <si>
    <t>211.188.50.214</t>
    <phoneticPr fontId="3" type="noConversion"/>
  </si>
  <si>
    <t>Admin</t>
    <phoneticPr fontId="3" type="noConversion"/>
  </si>
  <si>
    <t>http://223.130.154.29:3000/admin/event/ebiz/financial</t>
    <phoneticPr fontId="3" type="noConversion"/>
  </si>
  <si>
    <t>http://223.130.154.29:3000/ebiz/pc</t>
    <phoneticPr fontId="3" type="noConversion"/>
  </si>
  <si>
    <t>Staging</t>
    <phoneticPr fontId="3" type="noConversion"/>
  </si>
  <si>
    <t>https://koreainvestment-event.com/ebiz/pc/</t>
    <phoneticPr fontId="3" type="noConversion"/>
  </si>
  <si>
    <t>https://koreainvestment-pension.com/pc/tab_02/index.html</t>
    <phoneticPr fontId="3" type="noConversion"/>
  </si>
  <si>
    <t>vc_media@naver.com</t>
    <phoneticPr fontId="3" type="noConversion"/>
  </si>
  <si>
    <t>네이버웍스 계정_법인</t>
    <phoneticPr fontId="3" type="noConversion"/>
  </si>
  <si>
    <t>DeveloperID</t>
    <phoneticPr fontId="3" type="noConversion"/>
  </si>
  <si>
    <t>Platform</t>
    <phoneticPr fontId="3" type="noConversion"/>
  </si>
  <si>
    <t>google</t>
    <phoneticPr fontId="3" type="noConversion"/>
  </si>
  <si>
    <t>https://play.google.com/console</t>
    <phoneticPr fontId="3" type="noConversion"/>
  </si>
  <si>
    <t>veritasmedia.dev@gmail.com</t>
    <phoneticPr fontId="3" type="noConversion"/>
  </si>
  <si>
    <t>Updated</t>
    <phoneticPr fontId="3" type="noConversion"/>
  </si>
  <si>
    <t>apple</t>
    <phoneticPr fontId="3" type="noConversion"/>
  </si>
  <si>
    <t>Provider</t>
    <phoneticPr fontId="3" type="noConversion"/>
  </si>
  <si>
    <t>Local</t>
    <phoneticPr fontId="3" type="noConversion"/>
  </si>
  <si>
    <t>root</t>
    <phoneticPr fontId="3" type="noConversion"/>
  </si>
  <si>
    <t>aip</t>
    <phoneticPr fontId="3" type="noConversion"/>
  </si>
  <si>
    <t>Server Name/HostName</t>
    <phoneticPr fontId="3" type="noConversion"/>
  </si>
  <si>
    <t>vc_pfmc</t>
    <phoneticPr fontId="3" type="noConversion"/>
  </si>
  <si>
    <t>Desktop</t>
    <phoneticPr fontId="3" type="noConversion"/>
  </si>
  <si>
    <t>macOS 15.4 24E248 arm64</t>
    <phoneticPr fontId="3" type="noConversion"/>
  </si>
  <si>
    <t>Apple M2 / 250GB / 16GB</t>
    <phoneticPr fontId="3" type="noConversion"/>
  </si>
  <si>
    <t>192.168.1.30</t>
    <phoneticPr fontId="3" type="noConversion"/>
  </si>
  <si>
    <t>AI_DEV / veritas!</t>
    <phoneticPr fontId="3" type="noConversion"/>
  </si>
  <si>
    <t>Rocky Linux 9.5</t>
    <phoneticPr fontId="3" type="noConversion"/>
  </si>
  <si>
    <r>
      <t xml:space="preserve">192.168.1.110 / </t>
    </r>
    <r>
      <rPr>
        <sz val="12"/>
        <color rgb="FFFF0000"/>
        <rFont val="맑은 고딕 (본문)"/>
        <family val="3"/>
        <charset val="129"/>
      </rPr>
      <t>Default</t>
    </r>
    <phoneticPr fontId="3" type="noConversion"/>
  </si>
  <si>
    <r>
      <t xml:space="preserve">192.168.1.30 / </t>
    </r>
    <r>
      <rPr>
        <sz val="12"/>
        <color rgb="FFFF0000"/>
        <rFont val="맑은 고딕 (본문)"/>
        <family val="3"/>
        <charset val="129"/>
      </rPr>
      <t>Default</t>
    </r>
    <phoneticPr fontId="3" type="noConversion"/>
  </si>
  <si>
    <t>CentOS Linux release 8.5.2111</t>
    <phoneticPr fontId="3" type="noConversion"/>
  </si>
  <si>
    <r>
      <t xml:space="preserve">192.168.1.116 / </t>
    </r>
    <r>
      <rPr>
        <sz val="12"/>
        <color rgb="FFFF0000"/>
        <rFont val="맑은 고딕 (본문)"/>
        <family val="3"/>
        <charset val="129"/>
      </rPr>
      <t>Default</t>
    </r>
    <phoneticPr fontId="3" type="noConversion"/>
  </si>
  <si>
    <t>MacMIni</t>
    <phoneticPr fontId="3" type="noConversion"/>
  </si>
  <si>
    <t>이상훈</t>
    <phoneticPr fontId="3" type="noConversion"/>
  </si>
  <si>
    <t>김창혁</t>
    <phoneticPr fontId="3" type="noConversion"/>
  </si>
  <si>
    <r>
      <t xml:space="preserve">192.168.1.5 / </t>
    </r>
    <r>
      <rPr>
        <sz val="12"/>
        <color rgb="FFFF0000"/>
        <rFont val="맑은 고딕 (본문)"/>
        <family val="3"/>
        <charset val="129"/>
      </rPr>
      <t>Default</t>
    </r>
    <phoneticPr fontId="3" type="noConversion"/>
  </si>
  <si>
    <t>기재 확인</t>
    <phoneticPr fontId="3" type="noConversion"/>
  </si>
  <si>
    <t>192.168.1.110</t>
    <phoneticPr fontId="3" type="noConversion"/>
  </si>
  <si>
    <t>192.168.1.116</t>
    <phoneticPr fontId="3" type="noConversion"/>
  </si>
  <si>
    <t>192.168.1.5</t>
    <phoneticPr fontId="3" type="noConversion"/>
  </si>
  <si>
    <t>/data_ext(//192.168.1.123/Dev)</t>
    <phoneticPr fontId="3" type="noConversion"/>
  </si>
  <si>
    <t>192.168.1.77</t>
    <phoneticPr fontId="3" type="noConversion"/>
  </si>
  <si>
    <t>서비스</t>
  </si>
  <si>
    <t>EC2-인스턴스($)</t>
  </si>
  <si>
    <t>VPC($)</t>
  </si>
  <si>
    <t>Tax($)</t>
  </si>
  <si>
    <t>EC2-기타($)</t>
  </si>
  <si>
    <t>Route 53($)</t>
  </si>
  <si>
    <t>S3($)</t>
  </si>
  <si>
    <t>Cost Explorer($)</t>
  </si>
  <si>
    <t>총 비용($)</t>
  </si>
  <si>
    <t>원화(당일 환율 1485.53원 기준)</t>
    <phoneticPr fontId="3" type="noConversion"/>
  </si>
  <si>
    <t>서비스 합계</t>
  </si>
  <si>
    <t>계약금액(월)</t>
    <phoneticPr fontId="3" type="noConversion"/>
  </si>
  <si>
    <t>비용1(AWS)</t>
    <phoneticPr fontId="3" type="noConversion"/>
  </si>
  <si>
    <t>노임 단가</t>
    <phoneticPr fontId="3" type="noConversion"/>
  </si>
  <si>
    <t>프로젝트 총괄</t>
    <phoneticPr fontId="3" type="noConversion"/>
  </si>
  <si>
    <t>개발 - 퍼블 / 초급</t>
    <phoneticPr fontId="3" type="noConversion"/>
  </si>
  <si>
    <t>개발 - FE / 중급</t>
    <phoneticPr fontId="3" type="noConversion"/>
  </si>
  <si>
    <t>개발 - BE / 고급</t>
    <phoneticPr fontId="3" type="noConversion"/>
  </si>
  <si>
    <t>매출(연간)</t>
    <phoneticPr fontId="3" type="noConversion"/>
  </si>
  <si>
    <t>한투_퍼블 자동화(Ebiz/Marketing)</t>
    <phoneticPr fontId="3" type="noConversion"/>
  </si>
  <si>
    <t>연금부</t>
    <phoneticPr fontId="3" type="noConversion"/>
  </si>
  <si>
    <t>한투_언론홍보자동화(홍보부)</t>
    <phoneticPr fontId="3" type="noConversion"/>
  </si>
  <si>
    <t>https://www.event-capefn.com/</t>
    <phoneticPr fontId="3" type="noConversion"/>
  </si>
  <si>
    <t>다올투자증권</t>
    <phoneticPr fontId="3" type="noConversion"/>
  </si>
  <si>
    <t>https://www.daolsecurities.com/top.jsp</t>
    <phoneticPr fontId="3" type="noConversion"/>
  </si>
  <si>
    <t>http://lab.veritasmedia.co.kr/redmine/projects/ibk-ui-ux/</t>
    <phoneticPr fontId="3" type="noConversion"/>
  </si>
  <si>
    <t>192.168.1.211</t>
    <phoneticPr fontId="3" type="noConversion"/>
  </si>
  <si>
    <t>Windows11</t>
    <phoneticPr fontId="3" type="noConversion"/>
  </si>
  <si>
    <t>vm_user / veritas@k2</t>
    <phoneticPr fontId="3" type="noConversion"/>
  </si>
  <si>
    <t>veritasmedia_lab / veritas@k2</t>
    <phoneticPr fontId="3" type="noConversion"/>
  </si>
  <si>
    <t>192.168.1.123</t>
    <phoneticPr fontId="3" type="noConversion"/>
  </si>
  <si>
    <t>RemoteAccess Gateway</t>
    <phoneticPr fontId="3" type="noConversion"/>
  </si>
  <si>
    <t>Ebiz</t>
    <phoneticPr fontId="3" type="noConversion"/>
  </si>
  <si>
    <t>홍보실</t>
    <phoneticPr fontId="3" type="noConversion"/>
  </si>
  <si>
    <t>Live</t>
    <phoneticPr fontId="3" type="noConversion"/>
  </si>
  <si>
    <t>추산 손익(년간)</t>
    <phoneticPr fontId="3" type="noConversion"/>
  </si>
  <si>
    <t>[참고] 용역계약 범위</t>
    <phoneticPr fontId="3" type="noConversion"/>
  </si>
  <si>
    <t>고객사</t>
    <phoneticPr fontId="3" type="noConversion"/>
  </si>
  <si>
    <t>한국투자증권</t>
    <phoneticPr fontId="3" type="noConversion"/>
  </si>
  <si>
    <t>부서</t>
    <phoneticPr fontId="3" type="noConversion"/>
  </si>
  <si>
    <t>4본부</t>
    <phoneticPr fontId="3" type="noConversion"/>
  </si>
  <si>
    <t>https://koreainvestment-event.com/pb/pc/</t>
    <phoneticPr fontId="3" type="noConversion"/>
  </si>
  <si>
    <t>마케팅</t>
    <phoneticPr fontId="3" type="noConversion"/>
  </si>
  <si>
    <t>Ebiz자동화</t>
    <phoneticPr fontId="3" type="noConversion"/>
  </si>
  <si>
    <t>http://223.130.154.29:3000/pb/pc</t>
    <phoneticPr fontId="3" type="noConversion"/>
  </si>
  <si>
    <t>고객사 담당 부서</t>
    <phoneticPr fontId="3" type="noConversion"/>
  </si>
  <si>
    <t>마케팅부</t>
    <phoneticPr fontId="3" type="noConversion"/>
  </si>
  <si>
    <t>언론홍보 자동화</t>
    <phoneticPr fontId="3" type="noConversion"/>
  </si>
  <si>
    <t>퍼블/시스템 운영</t>
    <phoneticPr fontId="3" type="noConversion"/>
  </si>
  <si>
    <t>이벤트 페이지 퍼블</t>
    <phoneticPr fontId="3" type="noConversion"/>
  </si>
  <si>
    <t>홈페이지 / 아이원 뱅크 / HTS / 모바일웹</t>
    <phoneticPr fontId="3" type="noConversion"/>
  </si>
  <si>
    <t>작업 담당</t>
    <phoneticPr fontId="3" type="noConversion"/>
  </si>
  <si>
    <t>이진영 / 김동준</t>
    <phoneticPr fontId="3" type="noConversion"/>
  </si>
  <si>
    <t>이진영</t>
    <phoneticPr fontId="3" type="noConversion"/>
  </si>
  <si>
    <t>디자인국</t>
    <phoneticPr fontId="3" type="noConversion"/>
  </si>
  <si>
    <t>홈페이지 / ADMIN /  시스템 운영 / 보안</t>
    <phoneticPr fontId="3" type="noConversion"/>
  </si>
  <si>
    <t>호스팅 비용(월)</t>
    <phoneticPr fontId="3" type="noConversion"/>
  </si>
  <si>
    <t>~ 25.03.31</t>
    <phoneticPr fontId="3" type="noConversion"/>
  </si>
  <si>
    <t>~ 25.09.30</t>
    <phoneticPr fontId="3" type="noConversion"/>
  </si>
  <si>
    <t>계약 만료(예정)일</t>
    <phoneticPr fontId="3" type="noConversion"/>
  </si>
  <si>
    <t>참고 사항</t>
    <phoneticPr fontId="3" type="noConversion"/>
  </si>
  <si>
    <t>"</t>
    <phoneticPr fontId="3" type="noConversion"/>
  </si>
  <si>
    <t>단순 손익</t>
    <phoneticPr fontId="3" type="noConversion"/>
  </si>
  <si>
    <t>유지보수액(월)</t>
    <phoneticPr fontId="3" type="noConversion"/>
  </si>
  <si>
    <t>Total</t>
    <phoneticPr fontId="3" type="noConversion"/>
  </si>
  <si>
    <t>홈페이지, HTS / 모바일 웹</t>
    <phoneticPr fontId="3" type="noConversion"/>
  </si>
  <si>
    <t>HomeCC Admin</t>
    <phoneticPr fontId="3" type="noConversion"/>
  </si>
  <si>
    <t>요청부서/매출인식</t>
    <phoneticPr fontId="3" type="noConversion"/>
  </si>
  <si>
    <t>1본부</t>
    <phoneticPr fontId="3" type="noConversion"/>
  </si>
  <si>
    <t>이벤트 페이지 퍼블 / ADMIN</t>
    <phoneticPr fontId="3" type="noConversion"/>
  </si>
  <si>
    <t>1월</t>
    <phoneticPr fontId="3" type="noConversion"/>
  </si>
  <si>
    <t>2월</t>
    <phoneticPr fontId="3" type="noConversion"/>
  </si>
  <si>
    <t>3월</t>
    <phoneticPr fontId="3" type="noConversion"/>
  </si>
  <si>
    <t>(한투)호스팅비용</t>
    <phoneticPr fontId="3" type="noConversion"/>
  </si>
  <si>
    <t>2025</t>
    <phoneticPr fontId="3" type="noConversion"/>
  </si>
  <si>
    <t xml:space="preserve">파트너스클럽 웹 / 앱(iOS, Android) 개발,운영/ 시스템 운영 </t>
    <phoneticPr fontId="3" type="noConversion"/>
  </si>
  <si>
    <t>투입인건비(월)</t>
    <phoneticPr fontId="3" type="noConversion"/>
  </si>
  <si>
    <t>2025년 적용 SW기술자 평균임금 공표</t>
    <phoneticPr fontId="3" type="noConversion"/>
  </si>
  <si>
    <t xml:space="preserve">통계법 제27조(통계의 공표)에 따라 『2024년 SW기술자 임금실태조사 (통계승인 제375001호)』의 결과로 다음과 같이 SW기술자 평균임금을 공표합니다. </t>
    <phoneticPr fontId="3" type="noConversion"/>
  </si>
  <si>
    <t>【SW기술자 평균임금】</t>
    <phoneticPr fontId="3" type="noConversion"/>
  </si>
  <si>
    <t>(단위: 원)</t>
    <phoneticPr fontId="3" type="noConversion"/>
  </si>
  <si>
    <t>구 분</t>
  </si>
  <si>
    <t>월평균임금(M/M)</t>
    <phoneticPr fontId="3" type="noConversion"/>
  </si>
  <si>
    <t>일평균임금
(M/D)</t>
    <phoneticPr fontId="3" type="noConversion"/>
  </si>
  <si>
    <t>시간평균임금(M/H)</t>
  </si>
  <si>
    <t>포함직무</t>
  </si>
  <si>
    <t>① IT기획자</t>
  </si>
  <si>
    <t>② IT컨설턴트</t>
  </si>
  <si>
    <t>정보보호컨설턴트</t>
  </si>
  <si>
    <t>③ 업무분석가</t>
  </si>
  <si>
    <t>④ 데이터분석가</t>
  </si>
  <si>
    <t>⑤ IT PM</t>
    <phoneticPr fontId="3" type="noConversion"/>
  </si>
  <si>
    <t>⑥ IT아키텍트</t>
  </si>
  <si>
    <t>SW아키텍트, 데이터아키텍트, Infrastructure아키텍트, 
데이터베이스아키텍트</t>
    <phoneticPr fontId="3" type="noConversion"/>
  </si>
  <si>
    <t>⑦ UI/UX기획/개발자</t>
  </si>
  <si>
    <t>UI/UX기획자, UI/UX개발자</t>
  </si>
  <si>
    <t>⑧ UI/UX디자이너</t>
  </si>
  <si>
    <t>⑨ 응용SW개발자</t>
  </si>
  <si>
    <t>빅데이터개발자,
인공지능개발자</t>
    <phoneticPr fontId="3" type="noConversion"/>
  </si>
  <si>
    <t>⑩ 시스템SW개발자</t>
  </si>
  <si>
    <t>임베디드SW개발자</t>
  </si>
  <si>
    <t>⑪ 정보시스템운용자</t>
  </si>
  <si>
    <r>
      <t>데이터베이스운용자,</t>
    </r>
    <r>
      <rPr>
        <sz val="9"/>
        <color rgb="FF000000"/>
        <rFont val="맑은 고딕"/>
        <family val="3"/>
        <charset val="129"/>
      </rPr>
      <t xml:space="preserve"> </t>
    </r>
    <r>
      <rPr>
        <sz val="9"/>
        <color rgb="FF000000"/>
        <rFont val="나눔고딕"/>
        <family val="3"/>
        <charset val="129"/>
      </rPr>
      <t>NW엔지니어, IT시스템운용자</t>
    </r>
    <phoneticPr fontId="3" type="noConversion"/>
  </si>
  <si>
    <t>⑫ IT지원기술자</t>
  </si>
  <si>
    <t>⑬ IT마케터</t>
  </si>
  <si>
    <t>SW제품기획자, IT서비스기획자, IT기술영업</t>
  </si>
  <si>
    <t>⑭ IT품질관리자</t>
  </si>
  <si>
    <t>⑮ IT테스터</t>
  </si>
  <si>
    <t>⑯ IT감리</t>
  </si>
  <si>
    <t>⑰ 정보보안전문가</t>
  </si>
  <si>
    <t>정보보호관리자, 
침해사고대응전문가</t>
    <phoneticPr fontId="3" type="noConversion"/>
  </si>
  <si>
    <t>&lt;본 평균임금을 SW사업대가 활용시 유의사항&gt;
 ※ 본 조사결과는 SW사업에서 SW기술자 인건비 평균 값임을 고려하여 활용 가능하며, 수·발주자간 자율적
    협의에 의해서도 유연하게 적용할 수 있음
 * SW기술자 평균임금은 소프트웨어진흥법 제46조(적정 대가 지급 등) 4항 ‘소프트웨어기술자의 인건비 
   기준’을 지칭함
 * SW기술자 평균임금은 기본급, 제수당, 상여금, 퇴직급여충당금, 법인부담금(4대보험)을 모두 포함한 결과임
 * 일평균임금은 월평균임금÷`24년 평균근무일수(20.6일), 시간평균임금은 일평균임금÷8시간 으로 각각 산정함 
 * 월평균 근무일수는 휴일, 법정공휴일 등을 제외한 업체가 응답한 근무일의 평균이며, 이는 개인의 휴가 사용
   여부와는 무관함       
 * SW기술자 평균임금은 전년 대비 4.2% 증가함
 * 25/75 백분위수는 조사된 직무별 임금의 구간, 분포에 대한 참고 값임(백분위수 : 백분위수는 크기가 있는      
   값들로 이뤄진 자료를 순서대로 나열했을 때 백분율로 나타낸 특정 위치의 값을 이르는 용어이다. 
   일반적으로 크기가 작은 것부터 나열하여 가장 작은 것을 0, 가장 큰 것을 100으로 한다.)</t>
    <phoneticPr fontId="3" type="noConversion"/>
  </si>
  <si>
    <t>[시행일] 2025년 1월 1일부터 2025년 12월 31일까지 적용</t>
    <phoneticPr fontId="3" type="noConversion"/>
  </si>
  <si>
    <r>
      <t>2024</t>
    </r>
    <r>
      <rPr>
        <sz val="13"/>
        <color rgb="FF000000"/>
        <rFont val="맑은 고딕"/>
        <family val="2"/>
        <charset val="129"/>
      </rPr>
      <t>년</t>
    </r>
    <r>
      <rPr>
        <sz val="13"/>
        <color rgb="FF000000"/>
        <rFont val="HCI Poppy"/>
        <family val="2"/>
      </rPr>
      <t xml:space="preserve">  12</t>
    </r>
    <r>
      <rPr>
        <sz val="13"/>
        <color rgb="FF000000"/>
        <rFont val="맑은 고딕"/>
        <family val="2"/>
        <charset val="129"/>
      </rPr>
      <t>월</t>
    </r>
    <r>
      <rPr>
        <sz val="13"/>
        <color rgb="FF000000"/>
        <rFont val="HCI Poppy"/>
        <family val="2"/>
      </rPr>
      <t xml:space="preserve">  3</t>
    </r>
    <r>
      <rPr>
        <sz val="13"/>
        <color rgb="FF000000"/>
        <rFont val="맑은 고딕"/>
        <family val="2"/>
        <charset val="129"/>
      </rPr>
      <t>일</t>
    </r>
    <phoneticPr fontId="3" type="noConversion"/>
  </si>
  <si>
    <t>한국소프트웨어산업협회장</t>
    <phoneticPr fontId="3" type="noConversion"/>
  </si>
  <si>
    <t>적정개발비(추산,월)</t>
    <phoneticPr fontId="3" type="noConversion"/>
  </si>
  <si>
    <t>AI플랫폼</t>
    <phoneticPr fontId="3" type="noConversion"/>
  </si>
  <si>
    <t xml:space="preserve"> </t>
    <phoneticPr fontId="3" type="noConversion"/>
  </si>
  <si>
    <t>이벤트 페이지 퍼블 / 시스템 운영</t>
    <phoneticPr fontId="3" type="noConversion"/>
  </si>
  <si>
    <t>김동준 / 김창혁</t>
    <phoneticPr fontId="3" type="noConversion"/>
  </si>
  <si>
    <t>https://koreainvestment-event.com/ebiz/pc/</t>
  </si>
  <si>
    <t>월 평균(최근 1년)</t>
    <phoneticPr fontId="3" type="noConversion"/>
  </si>
  <si>
    <t xml:space="preserve"> license@veritasmedia.co.kr</t>
    <phoneticPr fontId="3" type="noConversion"/>
  </si>
  <si>
    <t>qpflxktmaleu123!@#</t>
    <phoneticPr fontId="3" type="noConversion"/>
  </si>
  <si>
    <t>합계</t>
  </si>
  <si>
    <t>KRW</t>
    <phoneticPr fontId="3" type="noConversion"/>
  </si>
  <si>
    <t>[KAKAOPAY_SEC] COST_ELB Only</t>
    <phoneticPr fontId="3" type="noConversion"/>
  </si>
  <si>
    <t>2025.04.10</t>
    <phoneticPr fontId="3" type="noConversion"/>
  </si>
  <si>
    <t>시스템 운영</t>
    <phoneticPr fontId="3" type="noConversion"/>
  </si>
  <si>
    <t>카카오페이증권 ADMIN 개발 / 운영</t>
    <phoneticPr fontId="3" type="noConversion"/>
  </si>
  <si>
    <t>네트워크, 보안</t>
    <phoneticPr fontId="3" type="noConversion"/>
  </si>
  <si>
    <t>홈페이지 운영 (퍼블, 개발, 운영)</t>
    <phoneticPr fontId="3" type="noConversion"/>
  </si>
  <si>
    <t>PC/Mobile 페이지 퍼블리싱(3ea)</t>
    <phoneticPr fontId="3" type="noConversion"/>
  </si>
  <si>
    <t>클라우드 웹호스팅(웹서버 1ea)</t>
    <phoneticPr fontId="3" type="noConversion"/>
  </si>
  <si>
    <t>PC/Mobile 통합이벤트페이지 수정</t>
    <phoneticPr fontId="3" type="noConversion"/>
  </si>
  <si>
    <t>개발</t>
    <phoneticPr fontId="3" type="noConversion"/>
  </si>
  <si>
    <t>4월 브랜드검색 소재 제작 (총 2개 안)</t>
    <phoneticPr fontId="3" type="noConversion"/>
  </si>
  <si>
    <t>제작(디자인)</t>
    <phoneticPr fontId="3" type="noConversion"/>
  </si>
  <si>
    <t>해외주식 캠페인 소재 시안 제작 (4ea)</t>
    <phoneticPr fontId="3" type="noConversion"/>
  </si>
  <si>
    <t>해외주식 캠페인 소재 베리에이션 (76ea)</t>
    <phoneticPr fontId="3" type="noConversion"/>
  </si>
  <si>
    <t>1)</t>
    <phoneticPr fontId="3" type="noConversion"/>
  </si>
  <si>
    <t>2)</t>
    <phoneticPr fontId="3" type="noConversion"/>
  </si>
  <si>
    <t>AIP 서버 공동 활용</t>
    <phoneticPr fontId="3" type="noConversion"/>
  </si>
  <si>
    <t>(케이씨씨글라스)</t>
    <phoneticPr fontId="3" type="noConversion"/>
  </si>
  <si>
    <t>Android app 등록 중단됨/4.30일 이내 재등록</t>
    <phoneticPr fontId="3" type="noConversion"/>
  </si>
  <si>
    <t>년간</t>
    <phoneticPr fontId="3" type="noConversion"/>
  </si>
  <si>
    <t>한투_매출(3월)</t>
    <phoneticPr fontId="3" type="noConversion"/>
  </si>
  <si>
    <t>서버 운영 없음, File로 전달</t>
    <phoneticPr fontId="3" type="noConversion"/>
  </si>
  <si>
    <t>계약 연장 협의(업무범위, 계약 금액 현실화)</t>
    <phoneticPr fontId="3" type="noConversion"/>
  </si>
  <si>
    <t>작업 수행 내역(퍼블/개발/시스템 운영/기타)</t>
    <phoneticPr fontId="3" type="noConversion"/>
  </si>
  <si>
    <t>프로젝트 전용 게시판 별도 운영, 내부 프로세스 재조율 필요</t>
    <phoneticPr fontId="3" type="noConversion"/>
  </si>
  <si>
    <t>[카카오페이증권] 적정 용역금액 검토</t>
    <phoneticPr fontId="3" type="noConversion"/>
  </si>
  <si>
    <t>* 기술료 = 투입인건비 * 20%</t>
    <phoneticPr fontId="3" type="noConversion"/>
  </si>
  <si>
    <t>적정 용역비 산출(월)</t>
    <phoneticPr fontId="3" type="noConversion"/>
  </si>
  <si>
    <t>원단위 절사</t>
    <phoneticPr fontId="3" type="noConversion"/>
  </si>
  <si>
    <t>시스템 운용(AWS Manager)</t>
    <phoneticPr fontId="3" type="noConversion"/>
  </si>
  <si>
    <t>투입율(M/M)</t>
    <phoneticPr fontId="3" type="noConversion"/>
  </si>
  <si>
    <t>투입인력</t>
    <phoneticPr fontId="3" type="noConversion"/>
  </si>
  <si>
    <t>[참고] Hosting 이용 내역 상세</t>
    <phoneticPr fontId="3" type="noConversion"/>
  </si>
  <si>
    <t>t2.small</t>
    <phoneticPr fontId="3" type="noConversion"/>
  </si>
  <si>
    <t>t2.large</t>
    <phoneticPr fontId="3" type="noConversion"/>
  </si>
  <si>
    <t>t2.medium</t>
    <phoneticPr fontId="3" type="noConversion"/>
  </si>
  <si>
    <t>t3.large</t>
    <phoneticPr fontId="3" type="noConversion"/>
  </si>
  <si>
    <t>[AI 매체화 플랫폼_퍼블 중]</t>
    <phoneticPr fontId="3" type="noConversion"/>
  </si>
  <si>
    <t xml:space="preserve">https://www.kakaopaysec.com/ </t>
    <phoneticPr fontId="3" type="noConversion"/>
  </si>
  <si>
    <t>https://partnersclub.co.kr</t>
    <phoneticPr fontId="3" type="noConversion"/>
  </si>
  <si>
    <t xml:space="preserve">=(투입인건비 + 호스팅 비용 + 기술료) </t>
    <phoneticPr fontId="3" type="noConversion"/>
  </si>
  <si>
    <t>호스팅비용 별도 청구</t>
    <phoneticPr fontId="3" type="noConversion"/>
  </si>
  <si>
    <t>분기 70만원</t>
    <phoneticPr fontId="3" type="noConversion"/>
  </si>
  <si>
    <t>KCC글라스</t>
    <phoneticPr fontId="3" type="noConversion"/>
  </si>
  <si>
    <t>Elastic File System($)</t>
    <phoneticPr fontId="3" type="noConversion"/>
  </si>
  <si>
    <t>Elastic Load Balancing($)</t>
    <phoneticPr fontId="3" type="noConversion"/>
  </si>
  <si>
    <t>수익(월)</t>
    <phoneticPr fontId="3" type="noConversion"/>
  </si>
  <si>
    <t>투입인건비</t>
    <phoneticPr fontId="3" type="noConversion"/>
  </si>
  <si>
    <t>비용(AWS)</t>
    <phoneticPr fontId="3" type="noConversion"/>
  </si>
  <si>
    <t>= 총 용역비 - 호스팅비 - 투입인건비</t>
    <phoneticPr fontId="3" type="noConversion"/>
  </si>
  <si>
    <r>
      <t>투입율</t>
    </r>
    <r>
      <rPr>
        <sz val="12"/>
        <color theme="0"/>
        <rFont val="맑은 고딕 (본문)"/>
        <family val="3"/>
        <charset val="129"/>
      </rPr>
      <t>(M/M)</t>
    </r>
    <phoneticPr fontId="3" type="noConversion"/>
  </si>
  <si>
    <t>(외부 반출) 25.04.28 &gt; 이진우</t>
    <phoneticPr fontId="3" type="noConversion"/>
  </si>
  <si>
    <t>김동준</t>
    <phoneticPr fontId="3" type="noConversion"/>
  </si>
  <si>
    <t>공통</t>
    <phoneticPr fontId="3" type="noConversion"/>
  </si>
  <si>
    <t>이진우</t>
    <phoneticPr fontId="3" type="noConversion"/>
  </si>
  <si>
    <t>System Spec</t>
    <phoneticPr fontId="3" type="noConversion"/>
  </si>
  <si>
    <t>IP Address.</t>
    <phoneticPr fontId="3" type="noConversion"/>
  </si>
  <si>
    <t>OS</t>
    <phoneticPr fontId="3" type="noConversion"/>
  </si>
  <si>
    <t>CPU</t>
    <phoneticPr fontId="3" type="noConversion"/>
  </si>
  <si>
    <t>Storage</t>
    <phoneticPr fontId="3" type="noConversion"/>
  </si>
  <si>
    <t>GPU</t>
    <phoneticPr fontId="3" type="noConversion"/>
  </si>
  <si>
    <t>GPU_CUDA CORE</t>
    <phoneticPr fontId="3" type="noConversion"/>
  </si>
  <si>
    <t>GPU_VRAM</t>
    <phoneticPr fontId="3" type="noConversion"/>
  </si>
  <si>
    <t>Memory</t>
    <phoneticPr fontId="3" type="noConversion"/>
  </si>
  <si>
    <t>CMD</t>
    <phoneticPr fontId="3" type="noConversion"/>
  </si>
  <si>
    <t>W10 Home</t>
    <phoneticPr fontId="3" type="noConversion"/>
  </si>
  <si>
    <t xml:space="preserve"> i9-12900K   3.20 GHz</t>
    <phoneticPr fontId="3" type="noConversion"/>
  </si>
  <si>
    <t>1TB+1TB++1TB + 500GB+ 4TB(1`*4) 
&gt; 7.5 TB</t>
    <phoneticPr fontId="3" type="noConversion"/>
  </si>
  <si>
    <t>NVIDIA GeForce GTX 1660</t>
    <phoneticPr fontId="3" type="noConversion"/>
  </si>
  <si>
    <t>6GB</t>
    <phoneticPr fontId="3" type="noConversion"/>
  </si>
  <si>
    <t>128GB</t>
    <phoneticPr fontId="3" type="noConversion"/>
  </si>
  <si>
    <t xml:space="preserve">CMD+R &gt; msinfo32 
Ctrl + Shift + Esc &gt; 성능 &gt;  CPU, 메모리, 디스크, 네트워크, GPU 사용률과 모델명
Windows 키 + R &gt; dxdiag
PowerShell &gt; systeminfo
&gt; wmic cpu get Name, NumberOfCores, NumberOfLogicalProcessors
   : CPU 이름, 코어 수, 논리 프로세서 수
&gt; wmic memorychip get Capacity, Speed 
   : 메모리 용량과 속도
&gt; wmic diskdrive get Model, Size 
   : 디스크 모델명과 크기
&gt; wmic path win32_VideoController get Name 
: GPU 
</t>
    <phoneticPr fontId="3" type="noConversion"/>
  </si>
  <si>
    <t>i7-6700 CPU @ 3.40GHz</t>
    <phoneticPr fontId="3" type="noConversion"/>
  </si>
  <si>
    <t>256 + 500 + 2TB</t>
    <phoneticPr fontId="3" type="noConversion"/>
  </si>
  <si>
    <t>NVIDIA GeForce GTX 750</t>
    <phoneticPr fontId="3" type="noConversion"/>
  </si>
  <si>
    <t>1GB</t>
    <phoneticPr fontId="3" type="noConversion"/>
  </si>
  <si>
    <t>32GB(8G*4)</t>
    <phoneticPr fontId="3" type="noConversion"/>
  </si>
  <si>
    <t>CentOS 7.3</t>
    <phoneticPr fontId="3" type="noConversion"/>
  </si>
  <si>
    <t>i7-7700 CPU @ 3.60GHz</t>
    <phoneticPr fontId="3" type="noConversion"/>
  </si>
  <si>
    <t>256 + 500G</t>
    <phoneticPr fontId="3" type="noConversion"/>
  </si>
  <si>
    <t xml:space="preserve"> GP107 [GeForce GTX 1050 Ti]</t>
    <phoneticPr fontId="3" type="noConversion"/>
  </si>
  <si>
    <t>4GB</t>
    <phoneticPr fontId="3" type="noConversion"/>
  </si>
  <si>
    <t>16G</t>
    <phoneticPr fontId="3" type="noConversion"/>
  </si>
  <si>
    <t>mysql:8.0 / 5.7</t>
    <phoneticPr fontId="3" type="noConversion"/>
  </si>
  <si>
    <t>uname -a : 커널 버전, OS 정보
cat /etc/os-release : 배포판 정보
lscpu 
free -h 
df -h  / lsblk
lspci | grep -i vga : GPU 정보
nvidia-smi</t>
    <phoneticPr fontId="3" type="noConversion"/>
  </si>
  <si>
    <t>i7-8700 CPU @ 3.20GHz</t>
    <phoneticPr fontId="3" type="noConversion"/>
  </si>
  <si>
    <t>256 + 1TB</t>
    <phoneticPr fontId="3" type="noConversion"/>
  </si>
  <si>
    <t>GP106 [GeForce GTX 1060 3GB]</t>
    <phoneticPr fontId="3" type="noConversion"/>
  </si>
  <si>
    <t>3GB</t>
    <phoneticPr fontId="3" type="noConversion"/>
  </si>
  <si>
    <t>Redmine + mysql:8.0</t>
    <phoneticPr fontId="3" type="noConversion"/>
  </si>
  <si>
    <t>GPU</t>
  </si>
  <si>
    <t>딥러닝 학습 가능성</t>
  </si>
  <si>
    <t>추론 성능</t>
  </si>
  <si>
    <t>실전 사용 추천</t>
  </si>
  <si>
    <t>GTX 1660</t>
  </si>
  <si>
    <t>중간급 모델까지 가능</t>
  </si>
  <si>
    <t>충분</t>
  </si>
  <si>
    <t>✅ 추천</t>
  </si>
  <si>
    <t>GTX 1060 3GB</t>
  </si>
  <si>
    <t>제한적</t>
  </si>
  <si>
    <t>가능</t>
  </si>
  <si>
    <t>⚠️ 제한적 추천</t>
  </si>
  <si>
    <t>GTX 1050 Ti</t>
  </si>
  <si>
    <t>매우 제한적</t>
  </si>
  <si>
    <t>❌ 비추천</t>
  </si>
  <si>
    <t>GTX 750</t>
  </si>
  <si>
    <t>거의 불가능</t>
  </si>
  <si>
    <t>낮음</t>
  </si>
  <si>
    <t>❌❌ 사용 비추천</t>
  </si>
  <si>
    <t xml:space="preserve"> 1000  nvidia-smi
 1001  lspci | grep vga
 1002  lspci | grep -i vga
 1003  free -h
 1004  df -h
 1005  mount -a
 1006  df -h
 1007  pvdisplay;
 1008  pvdisplay
 1009  lsblk
 1010  uname -a
 1011  lscpu
 1012  docker ps -a</t>
    <phoneticPr fontId="3" type="noConversion"/>
  </si>
  <si>
    <t xml:space="preserve">vmware </t>
    <phoneticPr fontId="3" type="noConversion"/>
  </si>
  <si>
    <t>Docker / VM</t>
    <phoneticPr fontId="3" type="noConversion"/>
  </si>
  <si>
    <t>ai-platform-server</t>
    <phoneticPr fontId="3" type="noConversion"/>
  </si>
  <si>
    <t>m8-g2-s50(vCPU 8EA, Memory 64GB, [SSD]Disk 50GB)</t>
    <phoneticPr fontId="3" type="noConversion"/>
  </si>
  <si>
    <t>223.130.128.222/15150</t>
    <phoneticPr fontId="3" type="noConversion"/>
  </si>
  <si>
    <t>ai-platform-key</t>
    <phoneticPr fontId="3" type="noConversion"/>
  </si>
  <si>
    <t>223.130.128.222</t>
    <phoneticPr fontId="3" type="noConversion"/>
  </si>
  <si>
    <t>Default</t>
    <phoneticPr fontId="3" type="noConversion"/>
  </si>
  <si>
    <t>ai-platform-acg</t>
    <phoneticPr fontId="3" type="noConversion"/>
  </si>
  <si>
    <r>
      <rPr>
        <sz val="12"/>
        <color theme="1"/>
        <rFont val="맑은 고딕"/>
        <family val="2"/>
        <charset val="129"/>
        <scheme val="minor"/>
      </rPr>
      <t>ai-platform-server-storage | SSD |</t>
    </r>
    <r>
      <rPr>
        <sz val="12"/>
        <color theme="1"/>
        <rFont val="맑은 고딕 (본문)"/>
        <family val="3"/>
        <charset val="129"/>
      </rPr>
      <t xml:space="preserve"> </t>
    </r>
    <r>
      <rPr>
        <sz val="12"/>
        <color rgb="FFFF0000"/>
        <rFont val="맑은 고딕 (본문)"/>
        <family val="3"/>
        <charset val="129"/>
      </rPr>
      <t>2000 GB | /dev/xvdb</t>
    </r>
    <phoneticPr fontId="3" type="noConversion"/>
  </si>
  <si>
    <r>
      <t>192.168.1.77/</t>
    </r>
    <r>
      <rPr>
        <sz val="12"/>
        <color rgb="FFFF0000"/>
        <rFont val="맑은 고딕 (본문)"/>
        <family val="3"/>
        <charset val="129"/>
      </rPr>
      <t>14142</t>
    </r>
    <phoneticPr fontId="3" type="noConversion"/>
  </si>
  <si>
    <t>root, aip-dev</t>
    <phoneticPr fontId="3" type="noConversion"/>
  </si>
  <si>
    <t>aip-dev</t>
    <phoneticPr fontId="3" type="noConversion"/>
  </si>
  <si>
    <t xml:space="preserve"> i9-12900K   3.20 GHz / NVIDIA GeForce GTX 1660 /128GB</t>
    <phoneticPr fontId="3" type="noConversion"/>
  </si>
  <si>
    <t>kbeinc.co.kr</t>
    <phoneticPr fontId="3" type="noConversion"/>
  </si>
  <si>
    <t>koreainvestment-event.com
koreainvestment-pension.com</t>
    <phoneticPr fontId="3" type="noConversion"/>
  </si>
  <si>
    <t>AMAZON</t>
    <phoneticPr fontId="3" type="noConversion"/>
  </si>
  <si>
    <t>Service/Product</t>
    <phoneticPr fontId="3" type="noConversion"/>
  </si>
  <si>
    <t>Client</t>
    <phoneticPr fontId="3" type="noConversion"/>
  </si>
  <si>
    <t>Payment</t>
    <phoneticPr fontId="3" type="noConversion"/>
  </si>
  <si>
    <t>LastUpdated</t>
    <phoneticPr fontId="3" type="noConversion"/>
  </si>
  <si>
    <t>2025-06-20</t>
    <phoneticPr fontId="3" type="noConversion"/>
  </si>
  <si>
    <t>AccountInfo</t>
    <phoneticPr fontId="3" type="noConversion"/>
  </si>
  <si>
    <t>https://us-east-1.console.aws.amazon.com/billing/home#/paymentpreferences/paymentmethods
license@veritasmedia.co.kr</t>
    <phoneticPr fontId="3" type="noConversion"/>
  </si>
  <si>
    <t>평균요금/월</t>
    <phoneticPr fontId="3" type="noConversion"/>
  </si>
  <si>
    <t>25.6월 기준</t>
    <phoneticPr fontId="3" type="noConversion"/>
  </si>
  <si>
    <t>비고</t>
    <phoneticPr fontId="3" type="noConversion"/>
  </si>
  <si>
    <r>
      <t>4518-****-****-</t>
    </r>
    <r>
      <rPr>
        <b/>
        <sz val="12"/>
        <color rgb="FFFF0000"/>
        <rFont val="맑은 고딕 (본문)"/>
        <family val="3"/>
        <charset val="129"/>
      </rPr>
      <t>4306</t>
    </r>
    <phoneticPr fontId="3" type="noConversion"/>
  </si>
  <si>
    <t>ELEVENLABS.IO</t>
    <phoneticPr fontId="3" type="noConversion"/>
  </si>
  <si>
    <t>https://elevenlabs.io/app/subscription</t>
    <phoneticPr fontId="3" type="noConversion"/>
  </si>
  <si>
    <t>zankke@gmail.com</t>
    <phoneticPr fontId="3" type="noConversion"/>
  </si>
  <si>
    <t>OPENAI</t>
    <phoneticPr fontId="3" type="noConversion"/>
  </si>
  <si>
    <t>https://platform.openai.com/</t>
    <phoneticPr fontId="3" type="noConversion"/>
  </si>
  <si>
    <t>ai@veritasconnect.com</t>
    <phoneticPr fontId="3" type="noConversion"/>
  </si>
  <si>
    <t>SORA</t>
    <phoneticPr fontId="3" type="noConversion"/>
  </si>
  <si>
    <t>CHATGPT</t>
    <phoneticPr fontId="3" type="noConversion"/>
  </si>
  <si>
    <t>https://sora.chatgpt.com/</t>
    <phoneticPr fontId="3" type="noConversion"/>
  </si>
  <si>
    <t>개발용</t>
    <phoneticPr fontId="3" type="noConversion"/>
  </si>
  <si>
    <t>REPLICATE</t>
    <phoneticPr fontId="3" type="noConversion"/>
  </si>
  <si>
    <t>Video API</t>
    <phoneticPr fontId="3" type="noConversion"/>
  </si>
  <si>
    <t>https://replicate.com/account/billing</t>
    <phoneticPr fontId="3" type="noConversion"/>
  </si>
  <si>
    <t>STABILITY AI</t>
    <phoneticPr fontId="3" type="noConversion"/>
  </si>
  <si>
    <t>Stable Didffusion</t>
    <phoneticPr fontId="3" type="noConversion"/>
  </si>
  <si>
    <t>매월 청구</t>
    <phoneticPr fontId="3" type="noConversion"/>
  </si>
  <si>
    <t>연간 멤버쉽</t>
    <phoneticPr fontId="3" type="noConversion"/>
  </si>
  <si>
    <t>SERP API</t>
    <phoneticPr fontId="3" type="noConversion"/>
  </si>
  <si>
    <r>
      <rPr>
        <sz val="12"/>
        <color theme="1"/>
        <rFont val="맑은 고딕 (본문)"/>
        <family val="3"/>
        <charset val="129"/>
      </rPr>
      <t>4265-****-****-</t>
    </r>
    <r>
      <rPr>
        <b/>
        <sz val="12"/>
        <color rgb="FFFF0000"/>
        <rFont val="맑은 고딕"/>
        <family val="2"/>
        <charset val="129"/>
        <scheme val="minor"/>
      </rPr>
      <t>3648</t>
    </r>
    <phoneticPr fontId="3" type="noConversion"/>
  </si>
  <si>
    <t>https://serpapi.com/</t>
    <phoneticPr fontId="3" type="noConversion"/>
  </si>
  <si>
    <t>Serp API</t>
    <phoneticPr fontId="3" type="noConversion"/>
  </si>
  <si>
    <t>MidJourney Inc</t>
    <phoneticPr fontId="3" type="noConversion"/>
  </si>
  <si>
    <t>Midjourney</t>
    <phoneticPr fontId="3" type="noConversion"/>
  </si>
  <si>
    <t>https://billing.stripe.com/p/login/aEUdRA5Wc8t25a03cc?referer=invoice_receipt</t>
    <phoneticPr fontId="3" type="noConversion"/>
  </si>
  <si>
    <t>?</t>
    <phoneticPr fontId="3" type="noConversion"/>
  </si>
  <si>
    <t>ClipDrop</t>
    <phoneticPr fontId="3" type="noConversion"/>
  </si>
  <si>
    <t>RemoveBG</t>
    <phoneticPr fontId="3" type="noConversion"/>
  </si>
  <si>
    <t>선충전 5000 크레딧</t>
    <phoneticPr fontId="3" type="noConversion"/>
  </si>
  <si>
    <t>(25.06.20) 잔여 크레딧 3568</t>
    <phoneticPr fontId="3" type="noConversion"/>
  </si>
  <si>
    <t>결제 내역 확인(장미선 본부장 / 25.06.20)</t>
    <phoneticPr fontId="3" type="noConversion"/>
  </si>
  <si>
    <t>AIP</t>
    <phoneticPr fontId="3" type="noConversion"/>
  </si>
  <si>
    <t xml:space="preserve">결제내역 </t>
    <phoneticPr fontId="3" type="noConversion"/>
  </si>
  <si>
    <t>재확인필요 ( R&amp;D)</t>
    <phoneticPr fontId="3" type="noConversion"/>
  </si>
  <si>
    <t>재확인필요 (Creative )</t>
    <phoneticPr fontId="3" type="noConversion"/>
  </si>
  <si>
    <t>AIP(AI플랫폼본부) 결제 내역</t>
    <phoneticPr fontId="3" type="noConversion"/>
  </si>
  <si>
    <t>미가입</t>
    <phoneticPr fontId="3" type="noConversion"/>
  </si>
  <si>
    <t>https://chatgpt.com/#pricing</t>
    <phoneticPr fontId="3" type="noConversion"/>
  </si>
  <si>
    <t>매월 청구(구독 취소. 25.06.20)</t>
    <phoneticPr fontId="3" type="noConversion"/>
  </si>
  <si>
    <t>Google</t>
    <phoneticPr fontId="3" type="noConversion"/>
  </si>
  <si>
    <t>VEO3 AI</t>
    <phoneticPr fontId="3" type="noConversion"/>
  </si>
  <si>
    <t>https://veo3.ai/</t>
    <phoneticPr fontId="3" type="noConversion"/>
  </si>
  <si>
    <t>ChatGPT.com PLUS</t>
    <phoneticPr fontId="3" type="noConversion"/>
  </si>
  <si>
    <t>ChatGPT Plus ($20)</t>
    <phoneticPr fontId="3" type="noConversion"/>
  </si>
  <si>
    <t>Video생성</t>
    <phoneticPr fontId="3" type="noConversion"/>
  </si>
  <si>
    <t>VEED.IO</t>
    <phoneticPr fontId="3" type="noConversion"/>
  </si>
  <si>
    <t>https://www.veed.io/ai-studio</t>
    <phoneticPr fontId="3" type="noConversion"/>
  </si>
  <si>
    <t>Pro9($24)</t>
    <phoneticPr fontId="3" type="noConversion"/>
  </si>
  <si>
    <r>
      <t>210.89.190.94/</t>
    </r>
    <r>
      <rPr>
        <strike/>
        <sz val="12"/>
        <color rgb="FF00B050"/>
        <rFont val="맑은 고딕 (본문)"/>
        <family val="3"/>
        <charset val="129"/>
      </rPr>
      <t>1030</t>
    </r>
    <phoneticPr fontId="3" type="noConversion"/>
  </si>
  <si>
    <t>(종료) 25.06.23</t>
    <phoneticPr fontId="3" type="noConversion"/>
  </si>
  <si>
    <t>ANTHROPIC</t>
    <phoneticPr fontId="3" type="noConversion"/>
  </si>
  <si>
    <t>https://console.anthropic.com/cost</t>
    <phoneticPr fontId="3" type="noConversion"/>
  </si>
  <si>
    <t>AI플랫폼개발본부(Dept. of AI Plataform Dev.)</t>
    <phoneticPr fontId="3" type="noConversion"/>
  </si>
  <si>
    <t>본부장</t>
    <phoneticPr fontId="3" type="noConversion"/>
  </si>
  <si>
    <t>부장</t>
    <phoneticPr fontId="3" type="noConversion"/>
  </si>
  <si>
    <t>SANG-HOON, LEE</t>
    <phoneticPr fontId="3" type="noConversion"/>
  </si>
  <si>
    <t>Position/Title</t>
    <phoneticPr fontId="3" type="noConversion"/>
  </si>
  <si>
    <t>UI/UX Developer</t>
    <phoneticPr fontId="3" type="noConversion"/>
  </si>
  <si>
    <t>이름</t>
    <phoneticPr fontId="3" type="noConversion"/>
  </si>
  <si>
    <t>직급</t>
    <phoneticPr fontId="3" type="noConversion"/>
  </si>
  <si>
    <t>영문 이름</t>
    <phoneticPr fontId="3" type="noConversion"/>
  </si>
  <si>
    <t>전화번호</t>
    <phoneticPr fontId="3" type="noConversion"/>
  </si>
  <si>
    <t>@veritasconnect.com</t>
    <phoneticPr fontId="3" type="noConversion"/>
  </si>
  <si>
    <t>itsme</t>
    <phoneticPr fontId="3" type="noConversion"/>
  </si>
  <si>
    <t>ch.kim</t>
    <phoneticPr fontId="3" type="noConversion"/>
  </si>
  <si>
    <t>junrah</t>
    <phoneticPr fontId="3" type="noConversion"/>
  </si>
  <si>
    <t>eznyeong</t>
    <phoneticPr fontId="3" type="noConversion"/>
  </si>
  <si>
    <t>e-mail</t>
    <phoneticPr fontId="3" type="noConversion"/>
  </si>
  <si>
    <t>CHANG-HYUK, KIM</t>
    <phoneticPr fontId="3" type="noConversion"/>
  </si>
  <si>
    <t>DONG-JUN, KIM</t>
    <phoneticPr fontId="3" type="noConversion"/>
  </si>
  <si>
    <t>JIN-YEOUNG, LEE</t>
    <phoneticPr fontId="3" type="noConversion"/>
  </si>
  <si>
    <t>010.8876.7086</t>
    <phoneticPr fontId="3" type="noConversion"/>
  </si>
  <si>
    <t>과장</t>
    <phoneticPr fontId="3" type="noConversion"/>
  </si>
  <si>
    <t>대리</t>
    <phoneticPr fontId="3" type="noConversion"/>
  </si>
  <si>
    <t>Full Stack Development Manager</t>
    <phoneticPr fontId="3" type="noConversion"/>
  </si>
  <si>
    <t>Head of AI Platform Development</t>
    <phoneticPr fontId="3" type="noConversion"/>
  </si>
  <si>
    <t>Senior Backend Developer</t>
    <phoneticPr fontId="3" type="noConversion"/>
  </si>
  <si>
    <t xml:space="preserve">██ ████  ███ █▄▄▄█ ▄███▄
██   ██ █   █ █ █ █   █
██   ██  ███  █ █ ████ </t>
    <phoneticPr fontId="3" type="noConversion"/>
  </si>
  <si>
    <t>▄███▄ █ █   █▄▄ ██ █▄▄▄█
█     ███   █▄█ ██ █ █ █
████  █ █ █ █ █ ██ █ █ █</t>
    <phoneticPr fontId="3" type="noConversion"/>
  </si>
  <si>
    <t xml:space="preserve">  ██  █ █ █▄  █ ████  ▄███▄ █ █
  ██  ███ █ █ █ █   █ █   █ ███
█▄██▄ █ █ █  ██ █   █ ████  █ █</t>
    <phoneticPr fontId="3" type="noConversion"/>
  </si>
  <si>
    <t xml:space="preserve">▄███▄ ████ █▄  █ █ █ ▄███▄ ▄███▄ █▄  █ ▄███▄
█     █▄▄▄ █ █ █ ███ █   █ █   █ █ █ █ █    
████  █▄▄▄ █  ██ █ █ ████  ████  █  ██ ████ </t>
    <phoneticPr fontId="3" type="noConversion"/>
  </si>
  <si>
    <t>Code Style</t>
    <phoneticPr fontId="3" type="noConversion"/>
  </si>
  <si>
    <r>
      <rPr>
        <sz val="12"/>
        <color theme="0" tint="-0.34998626667073579"/>
        <rFont val="Calibri"/>
        <family val="2"/>
      </rPr>
      <t>.designer {</t>
    </r>
    <r>
      <rPr>
        <sz val="12"/>
        <color theme="1"/>
        <rFont val="Calibri"/>
        <family val="2"/>
      </rPr>
      <t xml:space="preserve">
</t>
    </r>
    <r>
      <rPr>
        <b/>
        <sz val="12"/>
        <color theme="1"/>
        <rFont val="Calibri"/>
        <family val="2"/>
      </rPr>
      <t xml:space="preserve">  </t>
    </r>
    <r>
      <rPr>
        <b/>
        <sz val="12"/>
        <color rgb="FFFF4431"/>
        <rFont val="Calibri"/>
        <family val="2"/>
      </rPr>
      <t>creativity</t>
    </r>
    <r>
      <rPr>
        <sz val="12"/>
        <color rgb="FF00B0F0"/>
        <rFont val="Calibri"/>
        <family val="2"/>
      </rPr>
      <t>:</t>
    </r>
    <r>
      <rPr>
        <sz val="12"/>
        <color theme="1"/>
        <rFont val="Calibri"/>
        <family val="2"/>
      </rPr>
      <t xml:space="preserve"> </t>
    </r>
    <r>
      <rPr>
        <sz val="12"/>
        <color theme="5"/>
        <rFont val="Calibri"/>
        <family val="2"/>
      </rPr>
      <t>100</t>
    </r>
    <r>
      <rPr>
        <sz val="12"/>
        <color rgb="FF00B0F0"/>
        <rFont val="Calibri"/>
        <family val="2"/>
      </rPr>
      <t>% important</t>
    </r>
    <r>
      <rPr>
        <sz val="12"/>
        <color theme="0" tint="-0.34998626667073579"/>
        <rFont val="Calibri"/>
        <family val="2"/>
      </rPr>
      <t>;</t>
    </r>
    <r>
      <rPr>
        <sz val="12"/>
        <color theme="1"/>
        <rFont val="Calibri"/>
        <family val="2"/>
      </rPr>
      <t xml:space="preserve">
</t>
    </r>
    <r>
      <rPr>
        <sz val="12"/>
        <color theme="0" tint="-0.34998626667073579"/>
        <rFont val="Calibri"/>
        <family val="2"/>
      </rPr>
      <t xml:space="preserve">  user</t>
    </r>
    <r>
      <rPr>
        <sz val="12"/>
        <color rgb="FF00B0F0"/>
        <rFont val="Calibri"/>
        <family val="2"/>
      </rPr>
      <t>-</t>
    </r>
    <r>
      <rPr>
        <sz val="12"/>
        <color theme="0" tint="-0.34998626667073579"/>
        <rFont val="Calibri"/>
        <family val="2"/>
      </rPr>
      <t>focus</t>
    </r>
    <r>
      <rPr>
        <sz val="12"/>
        <color rgb="FF00B0F0"/>
        <rFont val="Calibri"/>
        <family val="2"/>
      </rPr>
      <t>:</t>
    </r>
    <r>
      <rPr>
        <sz val="12"/>
        <color theme="0" tint="-0.34998626667073579"/>
        <rFont val="Calibri"/>
        <family val="2"/>
      </rPr>
      <t xml:space="preserve"> </t>
    </r>
    <r>
      <rPr>
        <sz val="12"/>
        <color rgb="FFA446ED"/>
        <rFont val="Calibri"/>
        <family val="2"/>
      </rPr>
      <t>always</t>
    </r>
    <r>
      <rPr>
        <sz val="12"/>
        <color theme="0" tint="-0.34998626667073579"/>
        <rFont val="Calibri"/>
        <family val="2"/>
      </rPr>
      <t>;
  pixel</t>
    </r>
    <r>
      <rPr>
        <sz val="12"/>
        <color rgb="FF00B0F0"/>
        <rFont val="Calibri"/>
        <family val="2"/>
      </rPr>
      <t>-</t>
    </r>
    <r>
      <rPr>
        <sz val="12"/>
        <color theme="0" tint="-0.34998626667073579"/>
        <rFont val="Calibri"/>
        <family val="2"/>
      </rPr>
      <t>perfect</t>
    </r>
    <r>
      <rPr>
        <sz val="12"/>
        <color rgb="FF00B0F0"/>
        <rFont val="Calibri"/>
        <family val="2"/>
      </rPr>
      <t>:</t>
    </r>
    <r>
      <rPr>
        <sz val="12"/>
        <color theme="0" tint="-0.34998626667073579"/>
        <rFont val="Calibri"/>
        <family val="2"/>
      </rPr>
      <t xml:space="preserve"> </t>
    </r>
    <r>
      <rPr>
        <sz val="12"/>
        <color theme="5"/>
        <rFont val="Calibri"/>
        <family val="2"/>
      </rPr>
      <t>true</t>
    </r>
    <r>
      <rPr>
        <sz val="12"/>
        <color theme="0" tint="-0.34998626667073579"/>
        <rFont val="Calibri"/>
        <family val="2"/>
      </rPr>
      <t>;
  coffee</t>
    </r>
    <r>
      <rPr>
        <sz val="12"/>
        <color rgb="FF00B0F0"/>
        <rFont val="Calibri"/>
        <family val="2"/>
      </rPr>
      <t>-</t>
    </r>
    <r>
      <rPr>
        <sz val="12"/>
        <color theme="0" tint="-0.34998626667073579"/>
        <rFont val="Calibri"/>
        <family val="2"/>
      </rPr>
      <t>addiction</t>
    </r>
    <r>
      <rPr>
        <sz val="12"/>
        <color rgb="FF00B0F0"/>
        <rFont val="Calibri"/>
        <family val="2"/>
      </rPr>
      <t>:</t>
    </r>
    <r>
      <rPr>
        <sz val="12"/>
        <color theme="0" tint="-0.34998626667073579"/>
        <rFont val="Calibri"/>
        <family val="2"/>
      </rPr>
      <t xml:space="preserve"> </t>
    </r>
    <r>
      <rPr>
        <sz val="12"/>
        <color theme="5"/>
        <rFont val="Calibri"/>
        <family val="2"/>
      </rPr>
      <t>high</t>
    </r>
    <r>
      <rPr>
        <sz val="12"/>
        <color theme="0" tint="-0.34998626667073579"/>
        <rFont val="Calibri"/>
        <family val="2"/>
      </rPr>
      <t>;
}</t>
    </r>
    <phoneticPr fontId="3" type="noConversion"/>
  </si>
  <si>
    <r>
      <rPr>
        <sz val="12"/>
        <color rgb="FFA446ED"/>
        <rFont val="Calibri"/>
        <family val="2"/>
      </rPr>
      <t>class</t>
    </r>
    <r>
      <rPr>
        <sz val="12"/>
        <color theme="0" tint="-0.34998626667073579"/>
        <rFont val="Calibri"/>
        <family val="2"/>
      </rPr>
      <t xml:space="preserve"> BackendMaster</t>
    </r>
    <r>
      <rPr>
        <sz val="12"/>
        <color rgb="FF00B0F0"/>
        <rFont val="Calibri"/>
        <family val="2"/>
      </rPr>
      <t>:</t>
    </r>
    <r>
      <rPr>
        <sz val="12"/>
        <color theme="1"/>
        <rFont val="Calibri"/>
        <family val="2"/>
      </rPr>
      <t xml:space="preserve">
    </t>
    </r>
    <r>
      <rPr>
        <sz val="12"/>
        <color theme="0" tint="-0.34998626667073579"/>
        <rFont val="Calibri"/>
        <family val="2"/>
      </rPr>
      <t>def</t>
    </r>
    <r>
      <rPr>
        <sz val="12"/>
        <color theme="1"/>
        <rFont val="Calibri"/>
        <family val="2"/>
      </rPr>
      <t xml:space="preserve"> </t>
    </r>
    <r>
      <rPr>
        <sz val="12"/>
        <color rgb="FF00B0F0"/>
        <rFont val="Calibri"/>
        <family val="2"/>
      </rPr>
      <t>__init__</t>
    </r>
    <r>
      <rPr>
        <sz val="12"/>
        <color theme="0" tint="-0.34998626667073579"/>
        <rFont val="Calibri"/>
        <family val="2"/>
      </rPr>
      <t>(self)</t>
    </r>
    <r>
      <rPr>
        <sz val="12"/>
        <color rgb="FF00B0F0"/>
        <rFont val="Calibri"/>
        <family val="2"/>
      </rPr>
      <t>:</t>
    </r>
    <r>
      <rPr>
        <sz val="12"/>
        <color theme="1"/>
        <rFont val="Calibri"/>
        <family val="2"/>
      </rPr>
      <t xml:space="preserve">
        </t>
    </r>
    <r>
      <rPr>
        <sz val="12"/>
        <color theme="0" tint="-0.34998626667073579"/>
        <rFont val="Calibri"/>
        <family val="2"/>
      </rPr>
      <t>self.name</t>
    </r>
    <r>
      <rPr>
        <sz val="12"/>
        <color theme="1"/>
        <rFont val="Calibri"/>
        <family val="2"/>
      </rPr>
      <t xml:space="preserve"> </t>
    </r>
    <r>
      <rPr>
        <sz val="12"/>
        <color rgb="FF00B0F0"/>
        <rFont val="Calibri"/>
        <family val="2"/>
      </rPr>
      <t>=</t>
    </r>
    <r>
      <rPr>
        <sz val="12"/>
        <color theme="1"/>
        <rFont val="Calibri"/>
        <family val="2"/>
      </rPr>
      <t xml:space="preserve"> </t>
    </r>
    <r>
      <rPr>
        <sz val="12"/>
        <color rgb="FF00B050"/>
        <rFont val="Calibri"/>
        <family val="2"/>
      </rPr>
      <t>"</t>
    </r>
    <r>
      <rPr>
        <sz val="12"/>
        <color rgb="FF00B050"/>
        <rFont val="맑은 고딕"/>
        <family val="2"/>
        <charset val="129"/>
      </rPr>
      <t>김동준</t>
    </r>
    <r>
      <rPr>
        <sz val="12"/>
        <color rgb="FF00B050"/>
        <rFont val="Calibri"/>
        <family val="2"/>
      </rPr>
      <t>"</t>
    </r>
    <r>
      <rPr>
        <sz val="12"/>
        <color theme="1"/>
        <rFont val="Calibri"/>
        <family val="2"/>
      </rPr>
      <t xml:space="preserve">
        </t>
    </r>
    <r>
      <rPr>
        <sz val="12"/>
        <color theme="0" tint="-0.34998626667073579"/>
        <rFont val="Calibri"/>
        <family val="2"/>
      </rPr>
      <t>self.skills</t>
    </r>
    <r>
      <rPr>
        <sz val="12"/>
        <color theme="1"/>
        <rFont val="Calibri"/>
        <family val="2"/>
      </rPr>
      <t xml:space="preserve"> </t>
    </r>
    <r>
      <rPr>
        <sz val="12"/>
        <color rgb="FF00B0F0"/>
        <rFont val="Calibri"/>
        <family val="2"/>
      </rPr>
      <t>=</t>
    </r>
    <r>
      <rPr>
        <sz val="12"/>
        <color theme="1"/>
        <rFont val="Calibri"/>
        <family val="2"/>
      </rPr>
      <t xml:space="preserve"> </t>
    </r>
    <r>
      <rPr>
        <sz val="12"/>
        <color theme="0" tint="-0.34998626667073579"/>
        <rFont val="Calibri"/>
        <family val="2"/>
      </rPr>
      <t>[</t>
    </r>
    <r>
      <rPr>
        <sz val="12"/>
        <color rgb="FF00B050"/>
        <rFont val="Calibri"/>
        <family val="2"/>
      </rPr>
      <t>"API"</t>
    </r>
    <r>
      <rPr>
        <sz val="12"/>
        <color theme="0" tint="-0.34998626667073579"/>
        <rFont val="Calibri"/>
        <family val="2"/>
      </rPr>
      <t xml:space="preserve">, </t>
    </r>
    <r>
      <rPr>
        <sz val="12"/>
        <color rgb="FF00B050"/>
        <rFont val="Calibri"/>
        <family val="2"/>
      </rPr>
      <t>"Database"</t>
    </r>
    <r>
      <rPr>
        <sz val="12"/>
        <color theme="0" tint="-0.34998626667073579"/>
        <rFont val="Calibri"/>
        <family val="2"/>
      </rPr>
      <t>,</t>
    </r>
    <r>
      <rPr>
        <sz val="12"/>
        <color theme="1"/>
        <rFont val="Calibri"/>
        <family val="2"/>
      </rPr>
      <t xml:space="preserve"> </t>
    </r>
    <r>
      <rPr>
        <sz val="12"/>
        <color rgb="FF00B050"/>
        <rFont val="Calibri"/>
        <family val="2"/>
      </rPr>
      <t>"Server"</t>
    </r>
    <r>
      <rPr>
        <sz val="12"/>
        <color theme="0" tint="-0.34998626667073579"/>
        <rFont val="Calibri"/>
        <family val="2"/>
      </rPr>
      <t>,</t>
    </r>
    <r>
      <rPr>
        <sz val="12"/>
        <color rgb="FF00B050"/>
        <rFont val="Calibri"/>
        <family val="2"/>
      </rPr>
      <t xml:space="preserve"> "AWS"</t>
    </r>
    <r>
      <rPr>
        <sz val="12"/>
        <color theme="0" tint="-0.34998626667073579"/>
        <rFont val="Calibri"/>
        <family val="2"/>
      </rPr>
      <t>]</t>
    </r>
    <r>
      <rPr>
        <sz val="12"/>
        <color theme="1"/>
        <rFont val="Calibri"/>
        <family val="2"/>
      </rPr>
      <t xml:space="preserve">
</t>
    </r>
    <r>
      <rPr>
        <sz val="12"/>
        <color theme="0" tint="-0.34998626667073579"/>
        <rFont val="Calibri"/>
        <family val="2"/>
      </rPr>
      <t xml:space="preserve">        self.coffee_level </t>
    </r>
    <r>
      <rPr>
        <sz val="12"/>
        <color rgb="FF00B0F0"/>
        <rFont val="Calibri"/>
        <family val="2"/>
      </rPr>
      <t>=</t>
    </r>
    <r>
      <rPr>
        <sz val="12"/>
        <color theme="1"/>
        <rFont val="Calibri"/>
        <family val="2"/>
      </rPr>
      <t xml:space="preserve"> </t>
    </r>
    <r>
      <rPr>
        <sz val="12"/>
        <color rgb="FF00B050"/>
        <rFont val="Calibri"/>
        <family val="2"/>
      </rPr>
      <t>"Maximum"</t>
    </r>
    <r>
      <rPr>
        <sz val="12"/>
        <color theme="1"/>
        <rFont val="Calibri"/>
        <family val="2"/>
      </rPr>
      <t xml:space="preserve">
    </t>
    </r>
    <r>
      <rPr>
        <sz val="12"/>
        <color theme="0" tint="-0.34998626667073579"/>
        <rFont val="Calibri"/>
        <family val="2"/>
      </rPr>
      <t>def</t>
    </r>
    <r>
      <rPr>
        <sz val="12"/>
        <color theme="1"/>
        <rFont val="Calibri"/>
        <family val="2"/>
      </rPr>
      <t xml:space="preserve"> </t>
    </r>
    <r>
      <rPr>
        <sz val="12"/>
        <color rgb="FF00B0F0"/>
        <rFont val="Calibri"/>
        <family val="2"/>
      </rPr>
      <t>solve_problem</t>
    </r>
    <r>
      <rPr>
        <sz val="12"/>
        <color theme="0" tint="-0.34998626667073579"/>
        <rFont val="Calibri"/>
        <family val="2"/>
      </rPr>
      <t>(self)</t>
    </r>
    <r>
      <rPr>
        <sz val="12"/>
        <color theme="1"/>
        <rFont val="Calibri"/>
        <family val="2"/>
      </rPr>
      <t xml:space="preserve">:
        </t>
    </r>
    <r>
      <rPr>
        <sz val="12"/>
        <color rgb="FFA446ED"/>
        <rFont val="Calibri"/>
        <family val="2"/>
      </rPr>
      <t>return</t>
    </r>
    <r>
      <rPr>
        <sz val="12"/>
        <color theme="1"/>
        <rFont val="Calibri"/>
        <family val="2"/>
      </rPr>
      <t xml:space="preserve"> </t>
    </r>
    <r>
      <rPr>
        <sz val="12"/>
        <color rgb="FF00B050"/>
        <rFont val="Calibri"/>
        <family val="2"/>
      </rPr>
      <t>"Consider it done"</t>
    </r>
    <phoneticPr fontId="3" type="noConversion"/>
  </si>
  <si>
    <t>아이디어 1(뒷면 Full, Background로)</t>
    <phoneticPr fontId="3" type="noConversion"/>
  </si>
  <si>
    <t>아이디어 2(뒷면 Full, Background로)</t>
    <phoneticPr fontId="3" type="noConversion"/>
  </si>
  <si>
    <t>ASCII 아트 스타일 (이메일 앞자리)</t>
    <phoneticPr fontId="3" type="noConversion"/>
  </si>
  <si>
    <t>010.3171.7501</t>
    <phoneticPr fontId="3" type="noConversion"/>
  </si>
  <si>
    <t>010.3340.0411</t>
    <phoneticPr fontId="3" type="noConversion"/>
  </si>
  <si>
    <t>010.9194.8162</t>
    <phoneticPr fontId="3" type="noConversion"/>
  </si>
  <si>
    <r>
      <rPr>
        <sz val="12"/>
        <color rgb="FFA446ED"/>
        <rFont val="Calibri"/>
        <family val="2"/>
      </rPr>
      <t>function</t>
    </r>
    <r>
      <rPr>
        <sz val="12"/>
        <color theme="1"/>
        <rFont val="Calibri"/>
        <family val="2"/>
      </rPr>
      <t xml:space="preserve"> </t>
    </r>
    <r>
      <rPr>
        <sz val="12"/>
        <color rgb="FF00B0F0"/>
        <rFont val="Calibri"/>
        <family val="2"/>
      </rPr>
      <t>fullStackDev</t>
    </r>
    <r>
      <rPr>
        <sz val="12"/>
        <color theme="0" tint="-0.34998626667073579"/>
        <rFont val="Calibri"/>
        <family val="2"/>
      </rPr>
      <t>() {</t>
    </r>
    <r>
      <rPr>
        <sz val="12"/>
        <color theme="1"/>
        <rFont val="Calibri"/>
        <family val="2"/>
      </rPr>
      <t xml:space="preserve">
  </t>
    </r>
    <r>
      <rPr>
        <sz val="12"/>
        <color rgb="FFA446ED"/>
        <rFont val="Calibri"/>
        <family val="2"/>
      </rPr>
      <t>return</t>
    </r>
    <r>
      <rPr>
        <sz val="12"/>
        <color theme="1"/>
        <rFont val="Calibri"/>
        <family val="2"/>
      </rPr>
      <t xml:space="preserve"> </t>
    </r>
    <r>
      <rPr>
        <sz val="12"/>
        <color theme="0" tint="-0.34998626667073579"/>
        <rFont val="Calibri"/>
        <family val="2"/>
      </rPr>
      <t>{</t>
    </r>
    <r>
      <rPr>
        <sz val="12"/>
        <color theme="1"/>
        <rFont val="Calibri"/>
        <family val="2"/>
      </rPr>
      <t xml:space="preserve">
    </t>
    </r>
    <r>
      <rPr>
        <sz val="12"/>
        <color rgb="FFFF4431"/>
        <rFont val="Calibri"/>
        <family val="2"/>
      </rPr>
      <t>frontend</t>
    </r>
    <r>
      <rPr>
        <sz val="12"/>
        <color theme="4"/>
        <rFont val="Calibri"/>
        <family val="2"/>
      </rPr>
      <t>:</t>
    </r>
    <r>
      <rPr>
        <sz val="12"/>
        <color theme="1"/>
        <rFont val="Calibri"/>
        <family val="2"/>
      </rPr>
      <t xml:space="preserve"> </t>
    </r>
    <r>
      <rPr>
        <sz val="12"/>
        <color theme="0" tint="-0.34998626667073579"/>
        <rFont val="Calibri"/>
        <family val="2"/>
      </rPr>
      <t>[</t>
    </r>
    <r>
      <rPr>
        <sz val="12"/>
        <color rgb="FF00B050"/>
        <rFont val="Calibri"/>
        <family val="2"/>
      </rPr>
      <t>"React"</t>
    </r>
    <r>
      <rPr>
        <sz val="12"/>
        <color theme="0" tint="-0.34998626667073579"/>
        <rFont val="Calibri"/>
        <family val="2"/>
      </rPr>
      <t>,</t>
    </r>
    <r>
      <rPr>
        <sz val="12"/>
        <color theme="1"/>
        <rFont val="Calibri"/>
        <family val="2"/>
      </rPr>
      <t xml:space="preserve"> </t>
    </r>
    <r>
      <rPr>
        <sz val="12"/>
        <color rgb="FF00B050"/>
        <rFont val="Calibri"/>
        <family val="2"/>
      </rPr>
      <t>"PHP", "JAVA"</t>
    </r>
    <r>
      <rPr>
        <sz val="12"/>
        <color theme="0" tint="-0.34998626667073579"/>
        <rFont val="Calibri"/>
        <family val="2"/>
      </rPr>
      <t>],</t>
    </r>
    <r>
      <rPr>
        <sz val="12"/>
        <color theme="1"/>
        <rFont val="Calibri"/>
        <family val="2"/>
      </rPr>
      <t xml:space="preserve">
    </t>
    </r>
    <r>
      <rPr>
        <sz val="12"/>
        <color rgb="FFFF4431"/>
        <rFont val="Calibri"/>
        <family val="2"/>
      </rPr>
      <t>backend</t>
    </r>
    <r>
      <rPr>
        <sz val="12"/>
        <color rgb="FF0070C0"/>
        <rFont val="Calibri"/>
        <family val="2"/>
      </rPr>
      <t>:</t>
    </r>
    <r>
      <rPr>
        <sz val="12"/>
        <color theme="1"/>
        <rFont val="Calibri"/>
        <family val="2"/>
      </rPr>
      <t xml:space="preserve"> </t>
    </r>
    <r>
      <rPr>
        <sz val="12"/>
        <color theme="0" tint="-0.34998626667073579"/>
        <rFont val="Calibri"/>
        <family val="2"/>
      </rPr>
      <t>[</t>
    </r>
    <r>
      <rPr>
        <sz val="12"/>
        <color rgb="FF00B050"/>
        <rFont val="Calibri"/>
        <family val="2"/>
      </rPr>
      <t>"Python"</t>
    </r>
    <r>
      <rPr>
        <sz val="12"/>
        <color theme="0" tint="-0.34998626667073579"/>
        <rFont val="Calibri"/>
        <family val="2"/>
      </rPr>
      <t>,</t>
    </r>
    <r>
      <rPr>
        <sz val="12"/>
        <color theme="1"/>
        <rFont val="Calibri"/>
        <family val="2"/>
      </rPr>
      <t xml:space="preserve"> </t>
    </r>
    <r>
      <rPr>
        <sz val="12"/>
        <color rgb="FF00B050"/>
        <rFont val="Calibri"/>
        <family val="2"/>
      </rPr>
      <t>"dJango"</t>
    </r>
    <r>
      <rPr>
        <sz val="12"/>
        <color theme="0" tint="-0.34998626667073579"/>
        <rFont val="Calibri"/>
        <family val="2"/>
      </rPr>
      <t>,</t>
    </r>
    <r>
      <rPr>
        <sz val="12"/>
        <color theme="1"/>
        <rFont val="Calibri"/>
        <family val="2"/>
      </rPr>
      <t xml:space="preserve"> </t>
    </r>
    <r>
      <rPr>
        <sz val="12"/>
        <color rgb="FF00B050"/>
        <rFont val="Calibri"/>
        <family val="2"/>
      </rPr>
      <t>"Node.js"</t>
    </r>
    <r>
      <rPr>
        <sz val="12"/>
        <color theme="0" tint="-0.34998626667073579"/>
        <rFont val="Calibri"/>
        <family val="2"/>
      </rPr>
      <t>],</t>
    </r>
    <r>
      <rPr>
        <sz val="12"/>
        <color theme="1"/>
        <rFont val="Calibri"/>
        <family val="2"/>
      </rPr>
      <t xml:space="preserve">
    </t>
    </r>
    <r>
      <rPr>
        <sz val="12"/>
        <color rgb="FFFF4431"/>
        <rFont val="Calibri"/>
        <family val="2"/>
      </rPr>
      <t>database</t>
    </r>
    <r>
      <rPr>
        <sz val="12"/>
        <color theme="4"/>
        <rFont val="Calibri"/>
        <family val="2"/>
      </rPr>
      <t>:</t>
    </r>
    <r>
      <rPr>
        <sz val="12"/>
        <color theme="1"/>
        <rFont val="Calibri"/>
        <family val="2"/>
      </rPr>
      <t xml:space="preserve"> </t>
    </r>
    <r>
      <rPr>
        <sz val="12"/>
        <color theme="0" tint="-0.34998626667073579"/>
        <rFont val="Calibri"/>
        <family val="2"/>
      </rPr>
      <t>[</t>
    </r>
    <r>
      <rPr>
        <sz val="12"/>
        <color rgb="FF00B050"/>
        <rFont val="Calibri"/>
        <family val="2"/>
      </rPr>
      <t>"MySQL"</t>
    </r>
    <r>
      <rPr>
        <sz val="12"/>
        <color theme="0" tint="-0.34998626667073579"/>
        <rFont val="Calibri"/>
        <family val="2"/>
      </rPr>
      <t>,</t>
    </r>
    <r>
      <rPr>
        <sz val="12"/>
        <color theme="1"/>
        <rFont val="Calibri"/>
        <family val="2"/>
      </rPr>
      <t xml:space="preserve"> </t>
    </r>
    <r>
      <rPr>
        <sz val="12"/>
        <color rgb="FF00B050"/>
        <rFont val="Calibri"/>
        <family val="2"/>
      </rPr>
      <t>"ORACLE"</t>
    </r>
    <r>
      <rPr>
        <sz val="12"/>
        <color theme="0" tint="-0.34998626667073579"/>
        <rFont val="Calibri"/>
        <family val="2"/>
      </rPr>
      <t>],</t>
    </r>
    <r>
      <rPr>
        <sz val="12"/>
        <color theme="1"/>
        <rFont val="Calibri"/>
        <family val="2"/>
      </rPr>
      <t xml:space="preserve">
    </t>
    </r>
    <r>
      <rPr>
        <sz val="12"/>
        <color rgb="FFFF4431"/>
        <rFont val="Calibri"/>
        <family val="2"/>
      </rPr>
      <t>superpower</t>
    </r>
    <r>
      <rPr>
        <sz val="12"/>
        <color theme="4"/>
        <rFont val="Calibri"/>
        <family val="2"/>
      </rPr>
      <t>:</t>
    </r>
    <r>
      <rPr>
        <sz val="12"/>
        <color theme="1"/>
        <rFont val="Calibri"/>
        <family val="2"/>
      </rPr>
      <t xml:space="preserve"> </t>
    </r>
    <r>
      <rPr>
        <sz val="12"/>
        <color rgb="FF00B050"/>
        <rFont val="Calibri"/>
        <family val="2"/>
      </rPr>
      <t>"Can fix anything"</t>
    </r>
    <r>
      <rPr>
        <sz val="12"/>
        <color theme="1"/>
        <rFont val="Calibri"/>
        <family val="2"/>
      </rPr>
      <t xml:space="preserve">
  </t>
    </r>
    <r>
      <rPr>
        <sz val="12"/>
        <color theme="0" tint="-0.34998626667073579"/>
        <rFont val="Calibri"/>
        <family val="2"/>
      </rPr>
      <t>};
}</t>
    </r>
    <phoneticPr fontId="3" type="noConversion"/>
  </si>
  <si>
    <r>
      <rPr>
        <sz val="12"/>
        <color rgb="FFA446ED"/>
        <rFont val="Calibri"/>
        <family val="2"/>
      </rPr>
      <t>const</t>
    </r>
    <r>
      <rPr>
        <sz val="12"/>
        <color theme="1"/>
        <rFont val="Calibri"/>
        <family val="2"/>
      </rPr>
      <t xml:space="preserve"> </t>
    </r>
    <r>
      <rPr>
        <sz val="12"/>
        <color theme="0" tint="-0.34998626667073579"/>
        <rFont val="Calibri"/>
        <family val="2"/>
      </rPr>
      <t>chief</t>
    </r>
    <r>
      <rPr>
        <sz val="12"/>
        <color theme="1"/>
        <rFont val="Calibri"/>
        <family val="2"/>
      </rPr>
      <t xml:space="preserve"> </t>
    </r>
    <r>
      <rPr>
        <sz val="12"/>
        <color rgb="FF00B0F0"/>
        <rFont val="Calibri"/>
        <family val="2"/>
      </rPr>
      <t>=</t>
    </r>
    <r>
      <rPr>
        <sz val="12"/>
        <color theme="0" tint="-0.34998626667073579"/>
        <rFont val="Calibri"/>
        <family val="2"/>
      </rPr>
      <t xml:space="preserve"> {</t>
    </r>
    <r>
      <rPr>
        <sz val="12"/>
        <color theme="1"/>
        <rFont val="Calibri"/>
        <family val="2"/>
      </rPr>
      <t xml:space="preserve">
  </t>
    </r>
    <r>
      <rPr>
        <sz val="12"/>
        <color rgb="FFFF4432"/>
        <rFont val="Calibri"/>
        <family val="2"/>
      </rPr>
      <t>name</t>
    </r>
    <r>
      <rPr>
        <sz val="12"/>
        <color rgb="FF00B0F0"/>
        <rFont val="Calibri"/>
        <family val="2"/>
      </rPr>
      <t>:</t>
    </r>
    <r>
      <rPr>
        <sz val="12"/>
        <color theme="4"/>
        <rFont val="Calibri"/>
        <family val="2"/>
      </rPr>
      <t xml:space="preserve"> </t>
    </r>
    <r>
      <rPr>
        <sz val="12"/>
        <color rgb="FF00B050"/>
        <rFont val="Calibri"/>
        <family val="2"/>
      </rPr>
      <t>"</t>
    </r>
    <r>
      <rPr>
        <sz val="12"/>
        <color rgb="FF00B050"/>
        <rFont val="맑은 고딕"/>
        <family val="2"/>
        <charset val="129"/>
      </rPr>
      <t>이상훈</t>
    </r>
    <r>
      <rPr>
        <sz val="12"/>
        <color rgb="FF00B050"/>
        <rFont val="Calibri"/>
        <family val="2"/>
      </rPr>
      <t>"</t>
    </r>
    <r>
      <rPr>
        <sz val="12"/>
        <color theme="0" tint="-0.34998626667073579"/>
        <rFont val="Calibri"/>
        <family val="2"/>
      </rPr>
      <t>,</t>
    </r>
    <r>
      <rPr>
        <sz val="12"/>
        <color theme="1"/>
        <rFont val="Calibri"/>
        <family val="2"/>
      </rPr>
      <t xml:space="preserve">
  </t>
    </r>
    <r>
      <rPr>
        <sz val="12"/>
        <color rgb="FFFF4432"/>
        <rFont val="Calibri"/>
        <family val="2"/>
      </rPr>
      <t>role</t>
    </r>
    <r>
      <rPr>
        <sz val="12"/>
        <color rgb="FF00B0F0"/>
        <rFont val="Calibri"/>
        <family val="2"/>
      </rPr>
      <t>:</t>
    </r>
    <r>
      <rPr>
        <sz val="12"/>
        <color theme="1"/>
        <rFont val="Calibri"/>
        <family val="2"/>
      </rPr>
      <t xml:space="preserve"> </t>
    </r>
    <r>
      <rPr>
        <sz val="12"/>
        <color rgb="FF00B050"/>
        <rFont val="Calibri"/>
        <family val="2"/>
      </rPr>
      <t>"Chief Project Leader, AI Platform Dev."</t>
    </r>
    <r>
      <rPr>
        <sz val="12"/>
        <color theme="0" tint="-0.34998626667073579"/>
        <rFont val="Calibri"/>
        <family val="2"/>
      </rPr>
      <t>,</t>
    </r>
    <r>
      <rPr>
        <sz val="12"/>
        <color theme="1"/>
        <rFont val="Calibri"/>
        <family val="2"/>
      </rPr>
      <t xml:space="preserve">
  </t>
    </r>
    <r>
      <rPr>
        <sz val="12"/>
        <color rgb="FFFF4432"/>
        <rFont val="Calibri"/>
        <family val="2"/>
      </rPr>
      <t>experience</t>
    </r>
    <r>
      <rPr>
        <sz val="12"/>
        <color rgb="FF00B0F0"/>
        <rFont val="Calibri"/>
        <family val="2"/>
      </rPr>
      <t>:</t>
    </r>
    <r>
      <rPr>
        <sz val="12"/>
        <color theme="1"/>
        <rFont val="Calibri"/>
        <family val="2"/>
      </rPr>
      <t xml:space="preserve"> </t>
    </r>
    <r>
      <rPr>
        <sz val="12"/>
        <color rgb="FF00B050"/>
        <rFont val="Calibri"/>
        <family val="2"/>
      </rPr>
      <t>"25+ years(1999~2025)"</t>
    </r>
    <r>
      <rPr>
        <sz val="12"/>
        <color theme="0" tint="-0.34998626667073579"/>
        <rFont val="Calibri"/>
        <family val="2"/>
      </rPr>
      <t>,</t>
    </r>
    <r>
      <rPr>
        <sz val="12"/>
        <color theme="1"/>
        <rFont val="Calibri"/>
        <family val="2"/>
      </rPr>
      <t xml:space="preserve">
  </t>
    </r>
    <r>
      <rPr>
        <sz val="12"/>
        <color rgb="FFFF4432"/>
        <rFont val="Calibri"/>
        <family val="2"/>
      </rPr>
      <t>motto</t>
    </r>
    <r>
      <rPr>
        <sz val="12"/>
        <color rgb="FF00B0F0"/>
        <rFont val="Calibri"/>
        <family val="2"/>
      </rPr>
      <t>:</t>
    </r>
    <r>
      <rPr>
        <sz val="12"/>
        <color theme="1"/>
        <rFont val="Calibri"/>
        <family val="2"/>
      </rPr>
      <t xml:space="preserve"> </t>
    </r>
    <r>
      <rPr>
        <sz val="12"/>
        <color rgb="FF00B050"/>
        <rFont val="Calibri"/>
        <family val="2"/>
      </rPr>
      <t>"Code is poetry, Python is My Best Friend."</t>
    </r>
    <r>
      <rPr>
        <sz val="12"/>
        <color theme="0" tint="-0.34998626667073579"/>
        <rFont val="Calibri"/>
        <family val="2"/>
      </rPr>
      <t>,</t>
    </r>
    <r>
      <rPr>
        <sz val="12"/>
        <color theme="1"/>
        <rFont val="Calibri"/>
        <family val="2"/>
      </rPr>
      <t xml:space="preserve">
  </t>
    </r>
    <r>
      <rPr>
        <sz val="12"/>
        <color rgb="FFFF4432"/>
        <rFont val="Calibri"/>
        <family val="2"/>
      </rPr>
      <t>status</t>
    </r>
    <r>
      <rPr>
        <sz val="12"/>
        <color rgb="FF00B0F0"/>
        <rFont val="Calibri"/>
        <family val="2"/>
      </rPr>
      <t>:</t>
    </r>
    <r>
      <rPr>
        <sz val="12"/>
        <color theme="1"/>
        <rFont val="Calibri"/>
        <family val="2"/>
      </rPr>
      <t xml:space="preserve"> </t>
    </r>
    <r>
      <rPr>
        <sz val="12"/>
        <color rgb="FF00B050"/>
        <rFont val="Calibri"/>
        <family val="2"/>
      </rPr>
      <t>"Always developping life"</t>
    </r>
    <r>
      <rPr>
        <sz val="12"/>
        <color theme="1"/>
        <rFont val="Calibri"/>
        <family val="2"/>
      </rPr>
      <t xml:space="preserve">
</t>
    </r>
    <r>
      <rPr>
        <sz val="12"/>
        <color theme="0" tint="-0.34998626667073579"/>
        <rFont val="Calibri"/>
        <family val="2"/>
      </rPr>
      <t>};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</si>
</sst>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(* #,##0_);_(* \(#,##0\);_(* &quot;-&quot;_);_(@_)"/>
    <numFmt numFmtId="43" formatCode="_(* #,##0.00_);_(* \(#,##0.00\);_(* &quot;-&quot;??_);_(@_)"/>
    <numFmt numFmtId="24" formatCode="\$#,##0_);[Red]\(\$#,##0\)"/>
    <numFmt numFmtId="176" formatCode="_(* #,##0.00_);_(* \(#,##0.00\);_(* &quot;-&quot;_);_(@_)"/>
    <numFmt numFmtId="177" formatCode="_(* #,##0_);_(* \(#,##0\);_(* &quot;-&quot;??_);_(@_)"/>
    <numFmt numFmtId="178" formatCode="_-&quot;₩&quot;* #,##0_-;\-&quot;₩&quot;* #,##0_-;_-&quot;₩&quot;* &quot;-&quot;_-;_-@_-"/>
  </numFmts>
  <fonts count="81">
    <font>
      <sz val="12"/>
      <color theme="1"/>
      <name val="맑은 고딕"/>
      <family val="2"/>
      <charset val="129"/>
      <scheme val="minor"/>
    </font>
    <font>
      <sz val="12"/>
      <color rgb="FFFF0000"/>
      <name val="맑은 고딕"/>
      <family val="2"/>
      <charset val="129"/>
      <scheme val="minor"/>
    </font>
    <font>
      <sz val="12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u/>
      <sz val="12"/>
      <color theme="10"/>
      <name val="맑은 고딕"/>
      <family val="2"/>
      <charset val="129"/>
      <scheme val="minor"/>
    </font>
    <font>
      <sz val="12"/>
      <color rgb="FF000000"/>
      <name val="맑은 고딕"/>
      <family val="2"/>
      <charset val="129"/>
      <scheme val="minor"/>
    </font>
    <font>
      <sz val="12"/>
      <color rgb="FFFF0000"/>
      <name val="맑은 고딕 (본문)"/>
      <family val="3"/>
      <charset val="129"/>
    </font>
    <font>
      <sz val="12"/>
      <color rgb="FFFF0000"/>
      <name val="맑은 고딕 (본문)"/>
      <family val="3"/>
      <charset val="129"/>
    </font>
    <font>
      <sz val="12"/>
      <color theme="4"/>
      <name val="맑은 고딕"/>
      <family val="2"/>
      <charset val="129"/>
      <scheme val="minor"/>
    </font>
    <font>
      <sz val="12"/>
      <color rgb="FF00B050"/>
      <name val="맑은 고딕 (본문)"/>
      <family val="3"/>
      <charset val="129"/>
    </font>
    <font>
      <sz val="10"/>
      <color rgb="FF000000"/>
      <name val="Malgun Gothic"/>
      <family val="2"/>
      <charset val="129"/>
    </font>
    <font>
      <b/>
      <sz val="10"/>
      <color rgb="FF000000"/>
      <name val="Malgun Gothic"/>
      <family val="2"/>
      <charset val="129"/>
    </font>
    <font>
      <sz val="12"/>
      <color theme="1"/>
      <name val="맑은 고딕"/>
      <family val="2"/>
      <charset val="129"/>
      <scheme val="minor"/>
    </font>
    <font>
      <b/>
      <sz val="12"/>
      <color theme="0"/>
      <name val="맑은 고딕"/>
      <family val="2"/>
      <charset val="129"/>
      <scheme val="minor"/>
    </font>
    <font>
      <b/>
      <sz val="12"/>
      <color theme="1"/>
      <name val="맑은 고딕"/>
      <family val="2"/>
      <charset val="129"/>
      <scheme val="minor"/>
    </font>
    <font>
      <sz val="10"/>
      <color rgb="FF000000"/>
      <name val="맑은 고딕"/>
      <family val="2"/>
      <charset val="129"/>
      <scheme val="minor"/>
    </font>
    <font>
      <sz val="16"/>
      <color theme="1"/>
      <name val="맑은 고딕"/>
      <family val="2"/>
      <charset val="129"/>
      <scheme val="minor"/>
    </font>
    <font>
      <sz val="16"/>
      <color theme="0"/>
      <name val="맑은 고딕"/>
      <family val="2"/>
      <charset val="129"/>
      <scheme val="minor"/>
    </font>
    <font>
      <sz val="12"/>
      <name val="맑은 고딕"/>
      <family val="2"/>
      <charset val="129"/>
      <scheme val="minor"/>
    </font>
    <font>
      <b/>
      <sz val="12"/>
      <color rgb="FF000000"/>
      <name val="Malgun Gothic"/>
      <family val="2"/>
      <charset val="129"/>
    </font>
    <font>
      <sz val="12"/>
      <color rgb="FF000000"/>
      <name val="Malgun Gothic"/>
      <family val="2"/>
      <charset val="129"/>
    </font>
    <font>
      <b/>
      <sz val="12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hadow/>
      <u/>
      <sz val="20"/>
      <color rgb="FF000000"/>
      <name val="HY헤드라인M"/>
      <family val="1"/>
      <charset val="129"/>
    </font>
    <font>
      <shadow/>
      <sz val="17"/>
      <color rgb="FF000000"/>
      <name val="HY헤드라인M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1"/>
      <color rgb="FF000000"/>
      <name val="나눔고딕"/>
      <family val="3"/>
      <charset val="129"/>
    </font>
    <font>
      <sz val="11"/>
      <color rgb="FF000000"/>
      <name val="나눔고딕"/>
      <family val="3"/>
      <charset val="129"/>
    </font>
    <font>
      <sz val="11"/>
      <color rgb="FF363636"/>
      <name val="나눔고딕"/>
      <family val="3"/>
      <charset val="129"/>
    </font>
    <font>
      <sz val="9"/>
      <color rgb="FF000000"/>
      <name val="나눔고딕"/>
      <family val="3"/>
      <charset val="129"/>
    </font>
    <font>
      <sz val="9"/>
      <color rgb="FF000000"/>
      <name val="맑은 고딕"/>
      <family val="3"/>
      <charset val="129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3"/>
      <color rgb="FF000000"/>
      <name val="HCI Poppy"/>
      <family val="2"/>
    </font>
    <font>
      <sz val="13"/>
      <color rgb="FF000000"/>
      <name val="맑은 고딕"/>
      <family val="2"/>
      <charset val="129"/>
    </font>
    <font>
      <sz val="20"/>
      <color rgb="FF000000"/>
      <name val="HY헤드라인M"/>
      <family val="1"/>
      <charset val="129"/>
    </font>
    <font>
      <sz val="18"/>
      <color theme="1"/>
      <name val="맑은 고딕"/>
      <family val="2"/>
      <charset val="129"/>
      <scheme val="minor"/>
    </font>
    <font>
      <sz val="20"/>
      <color theme="0"/>
      <name val="맑은 고딕"/>
      <family val="2"/>
      <charset val="129"/>
      <scheme val="minor"/>
    </font>
    <font>
      <b/>
      <sz val="16"/>
      <color theme="1"/>
      <name val="맑은 고딕"/>
      <family val="2"/>
      <charset val="129"/>
      <scheme val="minor"/>
    </font>
    <font>
      <u/>
      <sz val="16"/>
      <color theme="10"/>
      <name val="맑은 고딕"/>
      <family val="2"/>
      <charset val="129"/>
      <scheme val="minor"/>
    </font>
    <font>
      <sz val="12"/>
      <color rgb="FF000000"/>
      <name val="맑은 고딕"/>
      <family val="2"/>
      <charset val="129"/>
    </font>
    <font>
      <sz val="16"/>
      <color theme="0" tint="-0.249977111117893"/>
      <name val="맑은 고딕"/>
      <family val="2"/>
      <charset val="129"/>
      <scheme val="minor"/>
    </font>
    <font>
      <b/>
      <sz val="16"/>
      <color theme="0" tint="-0.249977111117893"/>
      <name val="맑은 고딕"/>
      <family val="2"/>
      <charset val="129"/>
      <scheme val="minor"/>
    </font>
    <font>
      <sz val="14"/>
      <color theme="0" tint="-0.249977111117893"/>
      <name val="맑은 고딕"/>
      <family val="2"/>
      <charset val="129"/>
      <scheme val="minor"/>
    </font>
    <font>
      <sz val="12"/>
      <color theme="0" tint="-0.34998626667073579"/>
      <name val="맑은 고딕"/>
      <family val="2"/>
      <charset val="129"/>
      <scheme val="minor"/>
    </font>
    <font>
      <sz val="12"/>
      <color theme="0"/>
      <name val="맑은 고딕 (본문)"/>
      <family val="3"/>
      <charset val="129"/>
    </font>
    <font>
      <b/>
      <sz val="18"/>
      <color theme="0"/>
      <name val="맑은 고딕"/>
      <family val="2"/>
      <charset val="129"/>
      <scheme val="minor"/>
    </font>
    <font>
      <sz val="12"/>
      <color theme="1"/>
      <name val="맑은 고딕"/>
      <family val="3"/>
      <charset val="129"/>
      <scheme val="minor"/>
    </font>
    <font>
      <b/>
      <sz val="12"/>
      <color theme="0"/>
      <name val="맑은 고딕"/>
      <family val="3"/>
      <charset val="129"/>
      <scheme val="minor"/>
    </font>
    <font>
      <sz val="9"/>
      <color theme="1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2"/>
      <color theme="1"/>
      <name val="맑은 고딕 (본문)"/>
      <family val="3"/>
      <charset val="129"/>
    </font>
    <font>
      <b/>
      <sz val="14"/>
      <color rgb="FF000000"/>
      <name val="Malgun Gothic"/>
      <family val="2"/>
      <charset val="129"/>
    </font>
    <font>
      <sz val="14"/>
      <color rgb="FF000000"/>
      <name val="Malgun Gothic"/>
      <family val="2"/>
      <charset val="129"/>
    </font>
    <font>
      <b/>
      <sz val="12"/>
      <color rgb="FFFF0000"/>
      <name val="맑은 고딕 (본문)"/>
      <family val="3"/>
      <charset val="129"/>
    </font>
    <font>
      <b/>
      <sz val="16"/>
      <color rgb="FF000000"/>
      <name val="Malgun Gothic"/>
      <family val="2"/>
      <charset val="129"/>
    </font>
    <font>
      <sz val="16"/>
      <color rgb="FF000000"/>
      <name val="Malgun Gothic"/>
      <family val="2"/>
      <charset val="129"/>
    </font>
    <font>
      <b/>
      <sz val="12"/>
      <color rgb="FFFF0000"/>
      <name val="맑은 고딕"/>
      <family val="2"/>
      <charset val="129"/>
      <scheme val="minor"/>
    </font>
    <font>
      <b/>
      <sz val="16"/>
      <color rgb="FF000000"/>
      <name val="맑은 고딕"/>
      <family val="2"/>
      <charset val="129"/>
    </font>
    <font>
      <sz val="16"/>
      <color rgb="FF000000"/>
      <name val="맑은 고딕"/>
      <family val="2"/>
      <charset val="129"/>
    </font>
    <font>
      <strike/>
      <sz val="12"/>
      <color theme="1"/>
      <name val="맑은 고딕"/>
      <family val="2"/>
      <charset val="129"/>
      <scheme val="minor"/>
    </font>
    <font>
      <strike/>
      <u/>
      <sz val="12"/>
      <color theme="10"/>
      <name val="맑은 고딕"/>
      <family val="2"/>
      <charset val="129"/>
      <scheme val="minor"/>
    </font>
    <font>
      <strike/>
      <sz val="12"/>
      <color rgb="FF00B050"/>
      <name val="맑은 고딕 (본문)"/>
      <family val="3"/>
      <charset val="129"/>
    </font>
    <font>
      <strike/>
      <sz val="12"/>
      <color rgb="FFFF0000"/>
      <name val="맑은 고딕 (본문)"/>
      <family val="3"/>
    </font>
    <font>
      <sz val="12"/>
      <color theme="0" tint="-0.249977111117893"/>
      <name val="맑은 고딕"/>
      <family val="2"/>
      <charset val="129"/>
      <scheme val="minor"/>
    </font>
    <font>
      <sz val="12"/>
      <color rgb="FFFF4431"/>
      <name val="맑은 고딕"/>
      <family val="2"/>
      <charset val="129"/>
      <scheme val="minor"/>
    </font>
    <font>
      <sz val="12"/>
      <color rgb="FF00B050"/>
      <name val="맑은 고딕"/>
      <family val="2"/>
      <charset val="129"/>
    </font>
    <font>
      <sz val="12"/>
      <color theme="1"/>
      <name val="Calibri"/>
      <family val="2"/>
    </font>
    <font>
      <sz val="12"/>
      <color theme="4"/>
      <name val="Calibri"/>
      <family val="2"/>
    </font>
    <font>
      <sz val="12"/>
      <color rgb="FFFF4432"/>
      <name val="Calibri"/>
      <family val="2"/>
    </font>
    <font>
      <sz val="12"/>
      <color rgb="FF00B050"/>
      <name val="Calibri"/>
      <family val="2"/>
    </font>
    <font>
      <sz val="12"/>
      <color rgb="FF0070C0"/>
      <name val="Calibri"/>
      <family val="2"/>
    </font>
    <font>
      <sz val="12"/>
      <color rgb="FFFF4431"/>
      <name val="Calibri"/>
      <family val="2"/>
    </font>
    <font>
      <b/>
      <sz val="12"/>
      <color rgb="FFFF4431"/>
      <name val="Calibri"/>
      <family val="2"/>
    </font>
    <font>
      <sz val="12"/>
      <color theme="5"/>
      <name val="Calibri"/>
      <family val="2"/>
    </font>
    <font>
      <sz val="12"/>
      <color theme="0" tint="-0.34998626667073579"/>
      <name val="Calibri"/>
      <family val="2"/>
    </font>
    <font>
      <sz val="12"/>
      <color rgb="FF00B0F0"/>
      <name val="Calibri"/>
      <family val="2"/>
    </font>
    <font>
      <b/>
      <sz val="12"/>
      <color theme="1"/>
      <name val="Calibri"/>
      <family val="2"/>
    </font>
    <font>
      <sz val="12"/>
      <color rgb="FFA446ED"/>
      <name val="Calibri"/>
      <family val="2"/>
    </font>
    <font>
      <sz val="12"/>
      <color rgb="FFFF4432"/>
      <name val="맑은 고딕"/>
      <family val="2"/>
      <charset val="129"/>
      <scheme val="minor"/>
    </font>
  </fonts>
  <fills count="24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E7D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2F2F2E"/>
        <bgColor indexed="64"/>
      </patternFill>
    </fill>
  </fills>
  <borders count="7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dotted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tted">
        <color rgb="FF000000"/>
      </bottom>
      <diagonal/>
    </border>
    <border>
      <left style="thin">
        <color rgb="FF000000"/>
      </left>
      <right/>
      <top style="thin">
        <color rgb="FF000000"/>
      </top>
      <bottom style="dotted">
        <color rgb="FF000000"/>
      </bottom>
      <diagonal/>
    </border>
    <border>
      <left/>
      <right style="thin">
        <color rgb="FF000000"/>
      </right>
      <top style="dotted">
        <color rgb="FF000000"/>
      </top>
      <bottom style="dotted">
        <color rgb="FF000000"/>
      </bottom>
      <diagonal/>
    </border>
    <border>
      <left style="thin">
        <color rgb="FF000000"/>
      </left>
      <right style="thin">
        <color rgb="FF000000"/>
      </right>
      <top style="dotted">
        <color rgb="FF000000"/>
      </top>
      <bottom style="dotted">
        <color rgb="FF000000"/>
      </bottom>
      <diagonal/>
    </border>
    <border>
      <left style="thin">
        <color rgb="FF000000"/>
      </left>
      <right/>
      <top style="dotted">
        <color rgb="FF000000"/>
      </top>
      <bottom style="dotted">
        <color rgb="FF000000"/>
      </bottom>
      <diagonal/>
    </border>
    <border>
      <left/>
      <right style="thin">
        <color rgb="FF000000"/>
      </right>
      <top style="dotted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dotted">
        <color rgb="FF000000"/>
      </top>
      <bottom style="thin">
        <color rgb="FF000000"/>
      </bottom>
      <diagonal/>
    </border>
    <border>
      <left style="thin">
        <color rgb="FF000000"/>
      </left>
      <right/>
      <top style="dotted">
        <color rgb="FF000000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</borders>
  <cellStyleXfs count="5">
    <xf numFmtId="0" fontId="0" fillId="0" borderId="0">
      <alignment vertical="center"/>
    </xf>
    <xf numFmtId="0" fontId="4" fillId="0" borderId="0" applyNumberForma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2" fillId="0" borderId="0">
      <alignment vertical="center"/>
    </xf>
  </cellStyleXfs>
  <cellXfs count="317">
    <xf numFmtId="0" fontId="0" fillId="0" borderId="0" xfId="0">
      <alignment vertical="center"/>
    </xf>
    <xf numFmtId="0" fontId="4" fillId="0" borderId="0" xfId="1">
      <alignment vertical="center"/>
    </xf>
    <xf numFmtId="0" fontId="0" fillId="0" borderId="0" xfId="0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0" fillId="4" borderId="0" xfId="0" applyFill="1">
      <alignment vertical="center"/>
    </xf>
    <xf numFmtId="0" fontId="0" fillId="0" borderId="0" xfId="0" applyAlignment="1">
      <alignment vertical="center" wrapText="1"/>
    </xf>
    <xf numFmtId="0" fontId="8" fillId="0" borderId="0" xfId="0" applyFont="1">
      <alignment vertical="center"/>
    </xf>
    <xf numFmtId="0" fontId="1" fillId="0" borderId="0" xfId="0" applyFont="1">
      <alignment vertical="center"/>
    </xf>
    <xf numFmtId="0" fontId="7" fillId="0" borderId="0" xfId="0" applyFont="1" applyAlignment="1">
      <alignment vertical="center" wrapText="1"/>
    </xf>
    <xf numFmtId="0" fontId="0" fillId="0" borderId="0" xfId="0" quotePrefix="1">
      <alignment vertical="center"/>
    </xf>
    <xf numFmtId="0" fontId="4" fillId="0" borderId="0" xfId="1" applyFill="1" applyAlignment="1">
      <alignment horizontal="right" vertical="center"/>
    </xf>
    <xf numFmtId="0" fontId="4" fillId="0" borderId="0" xfId="1" applyFill="1" applyBorder="1">
      <alignment vertical="center"/>
    </xf>
    <xf numFmtId="14" fontId="0" fillId="0" borderId="0" xfId="0" applyNumberFormat="1">
      <alignment vertical="center"/>
    </xf>
    <xf numFmtId="0" fontId="2" fillId="5" borderId="0" xfId="0" applyFont="1" applyFill="1" applyAlignment="1">
      <alignment horizontal="center" vertical="center"/>
    </xf>
    <xf numFmtId="0" fontId="14" fillId="0" borderId="0" xfId="0" applyFont="1">
      <alignment vertical="center"/>
    </xf>
    <xf numFmtId="176" fontId="0" fillId="0" borderId="0" xfId="2" applyNumberFormat="1" applyFont="1">
      <alignment vertical="center"/>
    </xf>
    <xf numFmtId="0" fontId="16" fillId="0" borderId="0" xfId="0" applyFont="1">
      <alignment vertical="center"/>
    </xf>
    <xf numFmtId="41" fontId="16" fillId="0" borderId="0" xfId="0" applyNumberFormat="1" applyFont="1">
      <alignment vertical="center"/>
    </xf>
    <xf numFmtId="43" fontId="0" fillId="0" borderId="0" xfId="0" applyNumberFormat="1">
      <alignment vertical="center"/>
    </xf>
    <xf numFmtId="41" fontId="0" fillId="0" borderId="0" xfId="2" applyFont="1">
      <alignment vertical="center"/>
    </xf>
    <xf numFmtId="38" fontId="0" fillId="0" borderId="0" xfId="0" applyNumberFormat="1">
      <alignment vertical="center"/>
    </xf>
    <xf numFmtId="0" fontId="18" fillId="0" borderId="0" xfId="0" applyFont="1">
      <alignment vertical="center"/>
    </xf>
    <xf numFmtId="41" fontId="0" fillId="0" borderId="0" xfId="2" applyFont="1" applyAlignment="1">
      <alignment horizontal="right" vertical="center"/>
    </xf>
    <xf numFmtId="0" fontId="2" fillId="9" borderId="5" xfId="0" applyFont="1" applyFill="1" applyBorder="1" applyAlignment="1">
      <alignment horizontal="center" vertical="center"/>
    </xf>
    <xf numFmtId="0" fontId="14" fillId="10" borderId="12" xfId="0" applyFont="1" applyFill="1" applyBorder="1">
      <alignment vertical="center"/>
    </xf>
    <xf numFmtId="41" fontId="14" fillId="10" borderId="13" xfId="2" applyFont="1" applyFill="1" applyBorder="1">
      <alignment vertical="center"/>
    </xf>
    <xf numFmtId="0" fontId="14" fillId="10" borderId="15" xfId="0" applyFont="1" applyFill="1" applyBorder="1">
      <alignment vertical="center"/>
    </xf>
    <xf numFmtId="0" fontId="14" fillId="11" borderId="0" xfId="0" applyFont="1" applyFill="1">
      <alignment vertical="center"/>
    </xf>
    <xf numFmtId="176" fontId="14" fillId="11" borderId="0" xfId="2" applyNumberFormat="1" applyFont="1" applyFill="1">
      <alignment vertical="center"/>
    </xf>
    <xf numFmtId="0" fontId="22" fillId="0" borderId="0" xfId="4">
      <alignment vertical="center"/>
    </xf>
    <xf numFmtId="0" fontId="23" fillId="0" borderId="0" xfId="4" applyFont="1">
      <alignment vertical="center"/>
    </xf>
    <xf numFmtId="0" fontId="24" fillId="0" borderId="0" xfId="4" applyFont="1">
      <alignment vertical="center"/>
    </xf>
    <xf numFmtId="0" fontId="25" fillId="0" borderId="0" xfId="4" applyFont="1" applyAlignment="1">
      <alignment vertical="center" wrapText="1"/>
    </xf>
    <xf numFmtId="0" fontId="25" fillId="0" borderId="0" xfId="4" applyFont="1">
      <alignment vertical="center"/>
    </xf>
    <xf numFmtId="0" fontId="26" fillId="0" borderId="0" xfId="4" applyFont="1" applyAlignment="1">
      <alignment vertical="center" wrapText="1"/>
    </xf>
    <xf numFmtId="0" fontId="25" fillId="0" borderId="0" xfId="4" applyFont="1" applyAlignment="1">
      <alignment horizontal="right" vertical="center"/>
    </xf>
    <xf numFmtId="0" fontId="27" fillId="12" borderId="17" xfId="4" applyFont="1" applyFill="1" applyBorder="1" applyAlignment="1">
      <alignment horizontal="center" vertical="center" wrapText="1"/>
    </xf>
    <xf numFmtId="0" fontId="27" fillId="12" borderId="18" xfId="4" applyFont="1" applyFill="1" applyBorder="1" applyAlignment="1">
      <alignment horizontal="center" vertical="center" wrapText="1"/>
    </xf>
    <xf numFmtId="0" fontId="27" fillId="12" borderId="19" xfId="4" applyFont="1" applyFill="1" applyBorder="1" applyAlignment="1">
      <alignment horizontal="center" vertical="center" wrapText="1"/>
    </xf>
    <xf numFmtId="0" fontId="28" fillId="0" borderId="20" xfId="4" applyFont="1" applyBorder="1" applyAlignment="1">
      <alignment horizontal="left" vertical="center" wrapText="1"/>
    </xf>
    <xf numFmtId="3" fontId="29" fillId="0" borderId="21" xfId="4" applyNumberFormat="1" applyFont="1" applyBorder="1" applyAlignment="1">
      <alignment horizontal="right" vertical="center" wrapText="1"/>
    </xf>
    <xf numFmtId="3" fontId="28" fillId="0" borderId="21" xfId="4" applyNumberFormat="1" applyFont="1" applyBorder="1" applyAlignment="1">
      <alignment horizontal="center" vertical="center" wrapText="1"/>
    </xf>
    <xf numFmtId="0" fontId="30" fillId="0" borderId="22" xfId="4" applyFont="1" applyBorder="1" applyAlignment="1">
      <alignment horizontal="left" vertical="center" wrapText="1"/>
    </xf>
    <xf numFmtId="0" fontId="28" fillId="0" borderId="23" xfId="4" applyFont="1" applyBorder="1" applyAlignment="1">
      <alignment horizontal="left" vertical="center" wrapText="1"/>
    </xf>
    <xf numFmtId="3" fontId="29" fillId="0" borderId="24" xfId="4" applyNumberFormat="1" applyFont="1" applyBorder="1" applyAlignment="1">
      <alignment horizontal="right" vertical="center" wrapText="1"/>
    </xf>
    <xf numFmtId="3" fontId="28" fillId="0" borderId="24" xfId="4" applyNumberFormat="1" applyFont="1" applyBorder="1" applyAlignment="1">
      <alignment horizontal="center" vertical="center" wrapText="1"/>
    </xf>
    <xf numFmtId="0" fontId="30" fillId="0" borderId="25" xfId="4" applyFont="1" applyBorder="1" applyAlignment="1">
      <alignment horizontal="left" vertical="center" wrapText="1"/>
    </xf>
    <xf numFmtId="0" fontId="28" fillId="0" borderId="26" xfId="4" applyFont="1" applyBorder="1" applyAlignment="1">
      <alignment horizontal="left" vertical="center" wrapText="1"/>
    </xf>
    <xf numFmtId="3" fontId="29" fillId="0" borderId="27" xfId="4" applyNumberFormat="1" applyFont="1" applyBorder="1" applyAlignment="1">
      <alignment horizontal="right" vertical="center" wrapText="1"/>
    </xf>
    <xf numFmtId="3" fontId="28" fillId="0" borderId="27" xfId="4" applyNumberFormat="1" applyFont="1" applyBorder="1" applyAlignment="1">
      <alignment horizontal="center" vertical="center" wrapText="1"/>
    </xf>
    <xf numFmtId="0" fontId="30" fillId="0" borderId="28" xfId="4" applyFont="1" applyBorder="1" applyAlignment="1">
      <alignment horizontal="left" vertical="center" wrapText="1"/>
    </xf>
    <xf numFmtId="0" fontId="33" fillId="0" borderId="0" xfId="4" applyFont="1">
      <alignment vertical="center"/>
    </xf>
    <xf numFmtId="41" fontId="2" fillId="8" borderId="1" xfId="3" applyNumberFormat="1" applyBorder="1">
      <alignment vertical="center"/>
    </xf>
    <xf numFmtId="0" fontId="14" fillId="10" borderId="14" xfId="0" applyFont="1" applyFill="1" applyBorder="1" applyAlignment="1">
      <alignment horizontal="center" vertical="center"/>
    </xf>
    <xf numFmtId="41" fontId="21" fillId="10" borderId="1" xfId="2" applyFont="1" applyFill="1" applyBorder="1">
      <alignment vertical="center"/>
    </xf>
    <xf numFmtId="0" fontId="2" fillId="9" borderId="9" xfId="0" applyFont="1" applyFill="1" applyBorder="1" applyAlignment="1">
      <alignment horizontal="center" vertical="center"/>
    </xf>
    <xf numFmtId="0" fontId="0" fillId="0" borderId="33" xfId="0" applyBorder="1">
      <alignment vertical="center"/>
    </xf>
    <xf numFmtId="0" fontId="0" fillId="0" borderId="36" xfId="0" applyBorder="1" applyAlignment="1">
      <alignment horizontal="center" vertical="center"/>
    </xf>
    <xf numFmtId="0" fontId="0" fillId="0" borderId="37" xfId="0" applyBorder="1">
      <alignment vertical="center"/>
    </xf>
    <xf numFmtId="0" fontId="0" fillId="0" borderId="39" xfId="0" applyBorder="1">
      <alignment vertical="center"/>
    </xf>
    <xf numFmtId="0" fontId="0" fillId="0" borderId="42" xfId="0" applyBorder="1" applyAlignment="1">
      <alignment horizontal="center" vertical="center"/>
    </xf>
    <xf numFmtId="0" fontId="0" fillId="0" borderId="43" xfId="0" applyBorder="1">
      <alignment vertical="center"/>
    </xf>
    <xf numFmtId="38" fontId="0" fillId="0" borderId="41" xfId="2" applyNumberFormat="1" applyFont="1" applyBorder="1" applyAlignment="1">
      <alignment horizontal="center" vertical="center"/>
    </xf>
    <xf numFmtId="41" fontId="18" fillId="0" borderId="41" xfId="2" applyFont="1" applyBorder="1">
      <alignment vertical="center"/>
    </xf>
    <xf numFmtId="0" fontId="0" fillId="0" borderId="38" xfId="0" applyBorder="1" applyAlignment="1">
      <alignment horizontal="center" vertical="center"/>
    </xf>
    <xf numFmtId="0" fontId="4" fillId="0" borderId="39" xfId="1" applyBorder="1">
      <alignment vertical="center"/>
    </xf>
    <xf numFmtId="41" fontId="0" fillId="0" borderId="40" xfId="2" applyFont="1" applyBorder="1">
      <alignment vertical="center"/>
    </xf>
    <xf numFmtId="38" fontId="0" fillId="0" borderId="41" xfId="2" applyNumberFormat="1" applyFont="1" applyBorder="1">
      <alignment vertical="center"/>
    </xf>
    <xf numFmtId="0" fontId="0" fillId="11" borderId="38" xfId="0" applyFill="1" applyBorder="1" applyAlignment="1">
      <alignment horizontal="center" vertical="center"/>
    </xf>
    <xf numFmtId="0" fontId="0" fillId="11" borderId="39" xfId="0" applyFill="1" applyBorder="1">
      <alignment vertical="center"/>
    </xf>
    <xf numFmtId="41" fontId="0" fillId="11" borderId="40" xfId="2" applyFont="1" applyFill="1" applyBorder="1">
      <alignment vertical="center"/>
    </xf>
    <xf numFmtId="38" fontId="0" fillId="11" borderId="41" xfId="2" applyNumberFormat="1" applyFont="1" applyFill="1" applyBorder="1">
      <alignment vertical="center"/>
    </xf>
    <xf numFmtId="41" fontId="18" fillId="11" borderId="41" xfId="2" applyFont="1" applyFill="1" applyBorder="1">
      <alignment vertical="center"/>
    </xf>
    <xf numFmtId="0" fontId="1" fillId="11" borderId="42" xfId="0" applyFont="1" applyFill="1" applyBorder="1" applyAlignment="1">
      <alignment horizontal="center" vertical="center"/>
    </xf>
    <xf numFmtId="0" fontId="0" fillId="11" borderId="43" xfId="0" applyFill="1" applyBorder="1">
      <alignment vertical="center"/>
    </xf>
    <xf numFmtId="0" fontId="0" fillId="0" borderId="44" xfId="0" applyBorder="1" applyAlignment="1">
      <alignment horizontal="center" vertical="center"/>
    </xf>
    <xf numFmtId="0" fontId="0" fillId="0" borderId="45" xfId="0" applyBorder="1">
      <alignment vertical="center"/>
    </xf>
    <xf numFmtId="0" fontId="4" fillId="0" borderId="45" xfId="1" applyBorder="1">
      <alignment vertical="center"/>
    </xf>
    <xf numFmtId="41" fontId="0" fillId="0" borderId="46" xfId="2" applyFont="1" applyBorder="1">
      <alignment vertical="center"/>
    </xf>
    <xf numFmtId="38" fontId="0" fillId="0" borderId="47" xfId="2" applyNumberFormat="1" applyFont="1" applyBorder="1">
      <alignment vertical="center"/>
    </xf>
    <xf numFmtId="41" fontId="18" fillId="0" borderId="47" xfId="2" applyFont="1" applyBorder="1">
      <alignment vertical="center"/>
    </xf>
    <xf numFmtId="0" fontId="0" fillId="0" borderId="48" xfId="0" applyBorder="1" applyAlignment="1">
      <alignment horizontal="center" vertical="center"/>
    </xf>
    <xf numFmtId="0" fontId="0" fillId="0" borderId="49" xfId="0" applyBorder="1">
      <alignment vertical="center"/>
    </xf>
    <xf numFmtId="0" fontId="4" fillId="11" borderId="39" xfId="1" applyFill="1" applyBorder="1">
      <alignment vertical="center"/>
    </xf>
    <xf numFmtId="14" fontId="1" fillId="0" borderId="0" xfId="0" applyNumberFormat="1" applyFont="1">
      <alignment vertical="center"/>
    </xf>
    <xf numFmtId="176" fontId="1" fillId="0" borderId="0" xfId="2" applyNumberFormat="1" applyFont="1">
      <alignment vertical="center"/>
    </xf>
    <xf numFmtId="0" fontId="0" fillId="0" borderId="50" xfId="0" applyBorder="1">
      <alignment vertical="center"/>
    </xf>
    <xf numFmtId="176" fontId="0" fillId="0" borderId="50" xfId="2" applyNumberFormat="1" applyFont="1" applyBorder="1">
      <alignment vertical="center"/>
    </xf>
    <xf numFmtId="43" fontId="0" fillId="0" borderId="50" xfId="0" applyNumberFormat="1" applyBorder="1">
      <alignment vertical="center"/>
    </xf>
    <xf numFmtId="14" fontId="0" fillId="0" borderId="51" xfId="0" applyNumberFormat="1" applyBorder="1">
      <alignment vertical="center"/>
    </xf>
    <xf numFmtId="176" fontId="0" fillId="0" borderId="51" xfId="2" applyNumberFormat="1" applyFont="1" applyBorder="1">
      <alignment vertical="center"/>
    </xf>
    <xf numFmtId="43" fontId="0" fillId="0" borderId="51" xfId="0" applyNumberFormat="1" applyBorder="1">
      <alignment vertical="center"/>
    </xf>
    <xf numFmtId="14" fontId="0" fillId="0" borderId="31" xfId="0" applyNumberFormat="1" applyBorder="1">
      <alignment vertical="center"/>
    </xf>
    <xf numFmtId="176" fontId="0" fillId="0" borderId="31" xfId="2" applyNumberFormat="1" applyFont="1" applyBorder="1">
      <alignment vertical="center"/>
    </xf>
    <xf numFmtId="43" fontId="0" fillId="0" borderId="31" xfId="0" applyNumberFormat="1" applyBorder="1">
      <alignment vertical="center"/>
    </xf>
    <xf numFmtId="14" fontId="0" fillId="0" borderId="52" xfId="0" applyNumberFormat="1" applyBorder="1">
      <alignment vertical="center"/>
    </xf>
    <xf numFmtId="176" fontId="0" fillId="0" borderId="52" xfId="2" applyNumberFormat="1" applyFont="1" applyBorder="1">
      <alignment vertical="center"/>
    </xf>
    <xf numFmtId="43" fontId="0" fillId="0" borderId="52" xfId="0" applyNumberFormat="1" applyBorder="1">
      <alignment vertical="center"/>
    </xf>
    <xf numFmtId="0" fontId="0" fillId="0" borderId="50" xfId="0" applyBorder="1" applyAlignment="1">
      <alignment horizontal="center" vertical="center"/>
    </xf>
    <xf numFmtId="0" fontId="0" fillId="0" borderId="0" xfId="0" quotePrefix="1" applyAlignment="1">
      <alignment horizontal="right" vertical="center"/>
    </xf>
    <xf numFmtId="43" fontId="13" fillId="7" borderId="0" xfId="0" applyNumberFormat="1" applyFont="1" applyFill="1">
      <alignment vertical="center"/>
    </xf>
    <xf numFmtId="0" fontId="0" fillId="14" borderId="0" xfId="0" applyFill="1">
      <alignment vertical="center"/>
    </xf>
    <xf numFmtId="38" fontId="2" fillId="8" borderId="0" xfId="3" applyNumberFormat="1">
      <alignment vertical="center"/>
    </xf>
    <xf numFmtId="41" fontId="2" fillId="8" borderId="0" xfId="3" applyNumberFormat="1">
      <alignment vertical="center"/>
    </xf>
    <xf numFmtId="0" fontId="4" fillId="0" borderId="33" xfId="1" applyBorder="1">
      <alignment vertical="center"/>
    </xf>
    <xf numFmtId="41" fontId="25" fillId="0" borderId="0" xfId="2" applyFont="1">
      <alignment vertical="center"/>
    </xf>
    <xf numFmtId="41" fontId="14" fillId="0" borderId="0" xfId="2" quotePrefix="1" applyFont="1" applyAlignment="1">
      <alignment horizontal="right" vertical="center"/>
    </xf>
    <xf numFmtId="38" fontId="14" fillId="14" borderId="0" xfId="0" applyNumberFormat="1" applyFont="1" applyFill="1" applyAlignment="1">
      <alignment horizontal="right" vertical="center"/>
    </xf>
    <xf numFmtId="41" fontId="14" fillId="14" borderId="0" xfId="2" applyFont="1" applyFill="1">
      <alignment vertical="center"/>
    </xf>
    <xf numFmtId="0" fontId="4" fillId="0" borderId="39" xfId="1" applyFill="1" applyBorder="1">
      <alignment vertical="center"/>
    </xf>
    <xf numFmtId="41" fontId="0" fillId="0" borderId="40" xfId="2" applyFont="1" applyFill="1" applyBorder="1" applyAlignment="1">
      <alignment horizontal="center" vertical="center"/>
    </xf>
    <xf numFmtId="38" fontId="0" fillId="0" borderId="41" xfId="2" applyNumberFormat="1" applyFont="1" applyFill="1" applyBorder="1">
      <alignment vertical="center"/>
    </xf>
    <xf numFmtId="41" fontId="18" fillId="0" borderId="41" xfId="2" applyFont="1" applyFill="1" applyBorder="1" applyAlignment="1">
      <alignment horizontal="center" vertical="center"/>
    </xf>
    <xf numFmtId="0" fontId="1" fillId="0" borderId="42" xfId="0" applyFont="1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4" fillId="0" borderId="43" xfId="1" applyBorder="1">
      <alignment vertical="center"/>
    </xf>
    <xf numFmtId="41" fontId="0" fillId="0" borderId="34" xfId="2" applyFont="1" applyBorder="1">
      <alignment vertical="center"/>
    </xf>
    <xf numFmtId="41" fontId="0" fillId="0" borderId="41" xfId="2" applyFont="1" applyBorder="1" applyAlignment="1">
      <alignment horizontal="center" vertical="center"/>
    </xf>
    <xf numFmtId="41" fontId="0" fillId="0" borderId="41" xfId="2" applyFont="1" applyBorder="1">
      <alignment vertical="center"/>
    </xf>
    <xf numFmtId="41" fontId="0" fillId="11" borderId="41" xfId="2" applyFont="1" applyFill="1" applyBorder="1">
      <alignment vertical="center"/>
    </xf>
    <xf numFmtId="41" fontId="0" fillId="0" borderId="41" xfId="2" applyFont="1" applyFill="1" applyBorder="1" applyAlignment="1">
      <alignment horizontal="center" vertical="center"/>
    </xf>
    <xf numFmtId="41" fontId="0" fillId="0" borderId="47" xfId="2" applyFont="1" applyBorder="1">
      <alignment vertical="center"/>
    </xf>
    <xf numFmtId="41" fontId="14" fillId="10" borderId="1" xfId="2" applyFont="1" applyFill="1" applyBorder="1">
      <alignment vertical="center"/>
    </xf>
    <xf numFmtId="0" fontId="14" fillId="11" borderId="31" xfId="0" applyFont="1" applyFill="1" applyBorder="1" applyAlignment="1">
      <alignment horizontal="right" vertical="center"/>
    </xf>
    <xf numFmtId="41" fontId="14" fillId="11" borderId="31" xfId="2" applyFont="1" applyFill="1" applyBorder="1" applyAlignment="1">
      <alignment horizontal="right" vertical="center"/>
    </xf>
    <xf numFmtId="41" fontId="17" fillId="7" borderId="0" xfId="0" applyNumberFormat="1" applyFont="1" applyFill="1">
      <alignment vertical="center"/>
    </xf>
    <xf numFmtId="41" fontId="37" fillId="7" borderId="0" xfId="2" applyFont="1" applyFill="1">
      <alignment vertical="center"/>
    </xf>
    <xf numFmtId="41" fontId="0" fillId="0" borderId="0" xfId="0" applyNumberFormat="1">
      <alignment vertical="center"/>
    </xf>
    <xf numFmtId="0" fontId="2" fillId="2" borderId="62" xfId="0" applyFont="1" applyFill="1" applyBorder="1" applyAlignment="1">
      <alignment horizontal="center" vertical="center"/>
    </xf>
    <xf numFmtId="0" fontId="2" fillId="2" borderId="63" xfId="0" applyFont="1" applyFill="1" applyBorder="1" applyAlignment="1">
      <alignment horizontal="center" vertical="center"/>
    </xf>
    <xf numFmtId="0" fontId="0" fillId="0" borderId="65" xfId="0" applyBorder="1">
      <alignment vertical="center"/>
    </xf>
    <xf numFmtId="0" fontId="4" fillId="0" borderId="65" xfId="1" applyBorder="1">
      <alignment vertical="center"/>
    </xf>
    <xf numFmtId="0" fontId="0" fillId="0" borderId="65" xfId="0" applyBorder="1" applyAlignment="1">
      <alignment horizontal="center" vertical="center"/>
    </xf>
    <xf numFmtId="0" fontId="0" fillId="0" borderId="66" xfId="0" applyBorder="1">
      <alignment vertical="center"/>
    </xf>
    <xf numFmtId="0" fontId="0" fillId="0" borderId="65" xfId="0" applyBorder="1" applyAlignment="1">
      <alignment horizontal="right" vertical="center"/>
    </xf>
    <xf numFmtId="0" fontId="0" fillId="3" borderId="65" xfId="0" applyFill="1" applyBorder="1">
      <alignment vertical="center"/>
    </xf>
    <xf numFmtId="0" fontId="0" fillId="0" borderId="65" xfId="0" applyBorder="1" applyAlignment="1">
      <alignment horizontal="left" vertical="center"/>
    </xf>
    <xf numFmtId="0" fontId="0" fillId="17" borderId="65" xfId="0" applyFill="1" applyBorder="1">
      <alignment vertical="center"/>
    </xf>
    <xf numFmtId="0" fontId="4" fillId="17" borderId="65" xfId="1" applyFill="1" applyBorder="1">
      <alignment vertical="center"/>
    </xf>
    <xf numFmtId="0" fontId="0" fillId="17" borderId="65" xfId="0" applyFill="1" applyBorder="1" applyAlignment="1">
      <alignment horizontal="center" vertical="center"/>
    </xf>
    <xf numFmtId="0" fontId="0" fillId="17" borderId="65" xfId="0" applyFill="1" applyBorder="1" applyAlignment="1">
      <alignment horizontal="right" vertical="center"/>
    </xf>
    <xf numFmtId="0" fontId="5" fillId="17" borderId="65" xfId="0" applyFont="1" applyFill="1" applyBorder="1">
      <alignment vertical="center"/>
    </xf>
    <xf numFmtId="0" fontId="4" fillId="17" borderId="65" xfId="1" applyFill="1" applyBorder="1" applyAlignment="1">
      <alignment vertical="center"/>
    </xf>
    <xf numFmtId="0" fontId="0" fillId="0" borderId="62" xfId="0" applyBorder="1">
      <alignment vertical="center"/>
    </xf>
    <xf numFmtId="0" fontId="0" fillId="0" borderId="62" xfId="0" applyBorder="1" applyAlignment="1">
      <alignment horizontal="center" vertical="center"/>
    </xf>
    <xf numFmtId="0" fontId="0" fillId="0" borderId="63" xfId="0" applyBorder="1">
      <alignment vertical="center"/>
    </xf>
    <xf numFmtId="0" fontId="0" fillId="17" borderId="59" xfId="0" applyFill="1" applyBorder="1">
      <alignment vertical="center"/>
    </xf>
    <xf numFmtId="0" fontId="4" fillId="17" borderId="59" xfId="1" applyFill="1" applyBorder="1">
      <alignment vertical="center"/>
    </xf>
    <xf numFmtId="0" fontId="0" fillId="17" borderId="59" xfId="0" applyFill="1" applyBorder="1" applyAlignment="1">
      <alignment horizontal="center" vertical="center"/>
    </xf>
    <xf numFmtId="0" fontId="0" fillId="0" borderId="59" xfId="0" applyBorder="1">
      <alignment vertical="center"/>
    </xf>
    <xf numFmtId="0" fontId="0" fillId="0" borderId="60" xfId="0" applyBorder="1">
      <alignment vertical="center"/>
    </xf>
    <xf numFmtId="0" fontId="5" fillId="17" borderId="62" xfId="0" applyFont="1" applyFill="1" applyBorder="1">
      <alignment vertical="center"/>
    </xf>
    <xf numFmtId="0" fontId="0" fillId="17" borderId="62" xfId="0" applyFill="1" applyBorder="1">
      <alignment vertical="center"/>
    </xf>
    <xf numFmtId="0" fontId="4" fillId="17" borderId="62" xfId="1" applyFill="1" applyBorder="1" applyAlignment="1">
      <alignment vertical="center"/>
    </xf>
    <xf numFmtId="0" fontId="0" fillId="17" borderId="62" xfId="0" applyFill="1" applyBorder="1" applyAlignment="1">
      <alignment horizontal="center" vertical="center"/>
    </xf>
    <xf numFmtId="176" fontId="14" fillId="11" borderId="0" xfId="0" applyNumberFormat="1" applyFont="1" applyFill="1">
      <alignment vertical="center"/>
    </xf>
    <xf numFmtId="0" fontId="17" fillId="5" borderId="50" xfId="0" applyFont="1" applyFill="1" applyBorder="1" applyAlignment="1">
      <alignment horizontal="center" vertical="center"/>
    </xf>
    <xf numFmtId="0" fontId="17" fillId="2" borderId="50" xfId="0" applyFont="1" applyFill="1" applyBorder="1" applyAlignment="1">
      <alignment horizontal="center" vertical="center"/>
    </xf>
    <xf numFmtId="0" fontId="16" fillId="0" borderId="51" xfId="0" applyFont="1" applyBorder="1">
      <alignment vertical="center"/>
    </xf>
    <xf numFmtId="41" fontId="16" fillId="0" borderId="51" xfId="2" applyFont="1" applyBorder="1">
      <alignment vertical="center"/>
    </xf>
    <xf numFmtId="41" fontId="16" fillId="0" borderId="51" xfId="0" applyNumberFormat="1" applyFont="1" applyBorder="1">
      <alignment vertical="center"/>
    </xf>
    <xf numFmtId="0" fontId="16" fillId="0" borderId="31" xfId="0" applyFont="1" applyBorder="1">
      <alignment vertical="center"/>
    </xf>
    <xf numFmtId="41" fontId="16" fillId="0" borderId="31" xfId="2" applyFont="1" applyBorder="1">
      <alignment vertical="center"/>
    </xf>
    <xf numFmtId="41" fontId="16" fillId="0" borderId="31" xfId="0" applyNumberFormat="1" applyFont="1" applyBorder="1">
      <alignment vertical="center"/>
    </xf>
    <xf numFmtId="0" fontId="16" fillId="0" borderId="52" xfId="0" applyFont="1" applyBorder="1">
      <alignment vertical="center"/>
    </xf>
    <xf numFmtId="41" fontId="16" fillId="0" borderId="52" xfId="2" applyFont="1" applyBorder="1">
      <alignment vertical="center"/>
    </xf>
    <xf numFmtId="41" fontId="16" fillId="0" borderId="52" xfId="0" applyNumberFormat="1" applyFont="1" applyBorder="1">
      <alignment vertical="center"/>
    </xf>
    <xf numFmtId="0" fontId="42" fillId="0" borderId="31" xfId="0" applyFont="1" applyBorder="1">
      <alignment vertical="center"/>
    </xf>
    <xf numFmtId="41" fontId="42" fillId="0" borderId="31" xfId="2" applyFont="1" applyBorder="1">
      <alignment vertical="center"/>
    </xf>
    <xf numFmtId="41" fontId="42" fillId="0" borderId="31" xfId="0" applyNumberFormat="1" applyFont="1" applyBorder="1">
      <alignment vertical="center"/>
    </xf>
    <xf numFmtId="0" fontId="42" fillId="0" borderId="0" xfId="0" applyFont="1">
      <alignment vertical="center"/>
    </xf>
    <xf numFmtId="0" fontId="43" fillId="0" borderId="0" xfId="0" applyFont="1">
      <alignment vertical="center"/>
    </xf>
    <xf numFmtId="41" fontId="44" fillId="0" borderId="0" xfId="0" applyNumberFormat="1" applyFont="1">
      <alignment vertical="center"/>
    </xf>
    <xf numFmtId="177" fontId="44" fillId="0" borderId="0" xfId="0" applyNumberFormat="1" applyFont="1">
      <alignment vertical="center"/>
    </xf>
    <xf numFmtId="41" fontId="45" fillId="0" borderId="0" xfId="0" quotePrefix="1" applyNumberFormat="1" applyFont="1">
      <alignment vertical="center"/>
    </xf>
    <xf numFmtId="0" fontId="17" fillId="18" borderId="50" xfId="0" applyFont="1" applyFill="1" applyBorder="1" applyAlignment="1">
      <alignment horizontal="center" vertical="center"/>
    </xf>
    <xf numFmtId="0" fontId="47" fillId="5" borderId="0" xfId="0" applyFont="1" applyFill="1">
      <alignment vertical="center"/>
    </xf>
    <xf numFmtId="0" fontId="48" fillId="0" borderId="0" xfId="4" applyFont="1">
      <alignment vertical="center"/>
    </xf>
    <xf numFmtId="0" fontId="49" fillId="19" borderId="50" xfId="4" applyFont="1" applyFill="1" applyBorder="1">
      <alignment vertical="center"/>
    </xf>
    <xf numFmtId="0" fontId="49" fillId="19" borderId="50" xfId="4" applyFont="1" applyFill="1" applyBorder="1" applyAlignment="1">
      <alignment horizontal="center" vertical="center"/>
    </xf>
    <xf numFmtId="0" fontId="12" fillId="6" borderId="50" xfId="4" applyFont="1" applyFill="1" applyBorder="1">
      <alignment vertical="center"/>
    </xf>
    <xf numFmtId="0" fontId="12" fillId="6" borderId="50" xfId="4" applyFont="1" applyFill="1" applyBorder="1" applyAlignment="1">
      <alignment vertical="center" wrapText="1"/>
    </xf>
    <xf numFmtId="0" fontId="12" fillId="6" borderId="50" xfId="4" applyFont="1" applyFill="1" applyBorder="1" applyAlignment="1">
      <alignment horizontal="center" vertical="center"/>
    </xf>
    <xf numFmtId="0" fontId="12" fillId="0" borderId="50" xfId="4" applyFont="1" applyBorder="1">
      <alignment vertical="center"/>
    </xf>
    <xf numFmtId="0" fontId="50" fillId="0" borderId="50" xfId="4" quotePrefix="1" applyFont="1" applyBorder="1" applyAlignment="1">
      <alignment vertical="center" wrapText="1"/>
    </xf>
    <xf numFmtId="0" fontId="12" fillId="0" borderId="50" xfId="4" applyFont="1" applyBorder="1" applyAlignment="1">
      <alignment horizontal="center" vertical="center"/>
    </xf>
    <xf numFmtId="178" fontId="12" fillId="0" borderId="50" xfId="4" applyNumberFormat="1" applyFont="1" applyBorder="1" applyAlignment="1">
      <alignment vertical="center" wrapText="1"/>
    </xf>
    <xf numFmtId="0" fontId="12" fillId="0" borderId="50" xfId="4" applyFont="1" applyBorder="1" applyAlignment="1">
      <alignment vertical="center" wrapText="1"/>
    </xf>
    <xf numFmtId="0" fontId="48" fillId="0" borderId="0" xfId="4" applyFont="1" applyAlignment="1">
      <alignment vertical="center" wrapText="1"/>
    </xf>
    <xf numFmtId="0" fontId="48" fillId="0" borderId="0" xfId="4" applyFont="1" applyAlignment="1">
      <alignment horizontal="center" vertical="center"/>
    </xf>
    <xf numFmtId="0" fontId="51" fillId="6" borderId="0" xfId="4" applyFont="1" applyFill="1">
      <alignment vertical="center"/>
    </xf>
    <xf numFmtId="0" fontId="22" fillId="6" borderId="0" xfId="4" applyFill="1">
      <alignment vertical="center"/>
    </xf>
    <xf numFmtId="0" fontId="0" fillId="0" borderId="50" xfId="4" applyFont="1" applyBorder="1">
      <alignment vertical="center"/>
    </xf>
    <xf numFmtId="0" fontId="4" fillId="0" borderId="0" xfId="1" applyFill="1">
      <alignment vertical="center"/>
    </xf>
    <xf numFmtId="0" fontId="45" fillId="0" borderId="0" xfId="0" applyFont="1">
      <alignment vertical="center"/>
    </xf>
    <xf numFmtId="0" fontId="0" fillId="6" borderId="0" xfId="0" applyFill="1">
      <alignment vertical="center"/>
    </xf>
    <xf numFmtId="0" fontId="8" fillId="6" borderId="0" xfId="0" applyFont="1" applyFill="1">
      <alignment vertical="center"/>
    </xf>
    <xf numFmtId="0" fontId="45" fillId="6" borderId="0" xfId="0" applyFont="1" applyFill="1">
      <alignment vertical="center"/>
    </xf>
    <xf numFmtId="0" fontId="0" fillId="6" borderId="50" xfId="4" applyFont="1" applyFill="1" applyBorder="1">
      <alignment vertical="center"/>
    </xf>
    <xf numFmtId="0" fontId="1" fillId="6" borderId="0" xfId="0" applyFont="1" applyFill="1">
      <alignment vertical="center"/>
    </xf>
    <xf numFmtId="0" fontId="0" fillId="0" borderId="68" xfId="0" applyBorder="1">
      <alignment vertical="center"/>
    </xf>
    <xf numFmtId="0" fontId="0" fillId="0" borderId="31" xfId="0" applyBorder="1">
      <alignment vertical="center"/>
    </xf>
    <xf numFmtId="0" fontId="0" fillId="0" borderId="31" xfId="0" applyBorder="1" applyAlignment="1">
      <alignment vertical="center" wrapText="1"/>
    </xf>
    <xf numFmtId="41" fontId="0" fillId="0" borderId="31" xfId="2" applyFont="1" applyBorder="1">
      <alignment vertical="center"/>
    </xf>
    <xf numFmtId="0" fontId="0" fillId="0" borderId="69" xfId="0" applyBorder="1">
      <alignment vertical="center"/>
    </xf>
    <xf numFmtId="0" fontId="0" fillId="0" borderId="31" xfId="0" quotePrefix="1" applyBorder="1">
      <alignment vertical="center"/>
    </xf>
    <xf numFmtId="0" fontId="4" fillId="0" borderId="31" xfId="1" applyBorder="1" applyAlignment="1">
      <alignment vertical="center" wrapText="1"/>
    </xf>
    <xf numFmtId="0" fontId="4" fillId="0" borderId="31" xfId="1" applyBorder="1">
      <alignment vertical="center"/>
    </xf>
    <xf numFmtId="24" fontId="0" fillId="0" borderId="31" xfId="2" applyNumberFormat="1" applyFont="1" applyBorder="1">
      <alignment vertical="center"/>
    </xf>
    <xf numFmtId="0" fontId="58" fillId="0" borderId="31" xfId="0" quotePrefix="1" applyFont="1" applyBorder="1">
      <alignment vertical="center"/>
    </xf>
    <xf numFmtId="0" fontId="0" fillId="0" borderId="70" xfId="0" applyBorder="1">
      <alignment vertical="center"/>
    </xf>
    <xf numFmtId="0" fontId="0" fillId="0" borderId="71" xfId="0" applyBorder="1">
      <alignment vertical="center"/>
    </xf>
    <xf numFmtId="0" fontId="58" fillId="0" borderId="71" xfId="0" quotePrefix="1" applyFont="1" applyBorder="1">
      <alignment vertical="center"/>
    </xf>
    <xf numFmtId="0" fontId="0" fillId="0" borderId="71" xfId="0" applyBorder="1" applyAlignment="1">
      <alignment vertical="center" wrapText="1"/>
    </xf>
    <xf numFmtId="0" fontId="4" fillId="0" borderId="71" xfId="1" applyBorder="1">
      <alignment vertical="center"/>
    </xf>
    <xf numFmtId="41" fontId="0" fillId="0" borderId="71" xfId="2" applyFont="1" applyBorder="1">
      <alignment vertical="center"/>
    </xf>
    <xf numFmtId="0" fontId="0" fillId="0" borderId="7" xfId="0" applyBorder="1">
      <alignment vertical="center"/>
    </xf>
    <xf numFmtId="0" fontId="0" fillId="0" borderId="31" xfId="0" quotePrefix="1" applyBorder="1" applyAlignment="1">
      <alignment vertical="center" wrapText="1"/>
    </xf>
    <xf numFmtId="0" fontId="0" fillId="0" borderId="72" xfId="0" applyBorder="1" applyAlignment="1">
      <alignment horizontal="center" vertical="center"/>
    </xf>
    <xf numFmtId="0" fontId="0" fillId="0" borderId="57" xfId="0" applyBorder="1" applyAlignment="1">
      <alignment horizontal="center" vertical="center"/>
    </xf>
    <xf numFmtId="0" fontId="14" fillId="20" borderId="1" xfId="0" applyFont="1" applyFill="1" applyBorder="1">
      <alignment vertical="center"/>
    </xf>
    <xf numFmtId="0" fontId="14" fillId="20" borderId="67" xfId="0" applyFont="1" applyFill="1" applyBorder="1">
      <alignment vertical="center"/>
    </xf>
    <xf numFmtId="0" fontId="14" fillId="20" borderId="12" xfId="0" applyFont="1" applyFill="1" applyBorder="1">
      <alignment vertical="center"/>
    </xf>
    <xf numFmtId="0" fontId="14" fillId="20" borderId="12" xfId="0" applyFont="1" applyFill="1" applyBorder="1" applyAlignment="1">
      <alignment vertical="center" wrapText="1"/>
    </xf>
    <xf numFmtId="0" fontId="14" fillId="20" borderId="15" xfId="0" applyFont="1" applyFill="1" applyBorder="1">
      <alignment vertical="center"/>
    </xf>
    <xf numFmtId="0" fontId="4" fillId="0" borderId="0" xfId="1" applyAlignment="1">
      <alignment vertical="center" wrapText="1"/>
    </xf>
    <xf numFmtId="0" fontId="61" fillId="0" borderId="0" xfId="0" applyFont="1">
      <alignment vertical="center"/>
    </xf>
    <xf numFmtId="0" fontId="62" fillId="0" borderId="0" xfId="1" applyFont="1" applyAlignment="1">
      <alignment vertical="center" wrapText="1"/>
    </xf>
    <xf numFmtId="0" fontId="62" fillId="0" borderId="31" xfId="1" applyFont="1" applyBorder="1">
      <alignment vertical="center"/>
    </xf>
    <xf numFmtId="41" fontId="61" fillId="0" borderId="0" xfId="2" applyFont="1">
      <alignment vertical="center"/>
    </xf>
    <xf numFmtId="0" fontId="61" fillId="21" borderId="0" xfId="0" applyFont="1" applyFill="1">
      <alignment vertical="center"/>
    </xf>
    <xf numFmtId="0" fontId="64" fillId="21" borderId="0" xfId="0" applyFont="1" applyFill="1" applyAlignment="1">
      <alignment vertical="center" wrapText="1"/>
    </xf>
    <xf numFmtId="24" fontId="0" fillId="0" borderId="0" xfId="2" applyNumberFormat="1" applyFont="1">
      <alignment vertical="center"/>
    </xf>
    <xf numFmtId="0" fontId="65" fillId="0" borderId="0" xfId="0" applyFont="1">
      <alignment vertical="center"/>
    </xf>
    <xf numFmtId="0" fontId="65" fillId="0" borderId="0" xfId="0" quotePrefix="1" applyFont="1">
      <alignment vertical="center"/>
    </xf>
    <xf numFmtId="0" fontId="0" fillId="0" borderId="50" xfId="0" quotePrefix="1" applyBorder="1">
      <alignment vertical="center"/>
    </xf>
    <xf numFmtId="0" fontId="0" fillId="22" borderId="73" xfId="0" applyFill="1" applyBorder="1">
      <alignment vertical="center"/>
    </xf>
    <xf numFmtId="0" fontId="0" fillId="22" borderId="74" xfId="0" applyFill="1" applyBorder="1">
      <alignment vertical="center"/>
    </xf>
    <xf numFmtId="0" fontId="0" fillId="22" borderId="74" xfId="0" quotePrefix="1" applyFill="1" applyBorder="1">
      <alignment vertical="center"/>
    </xf>
    <xf numFmtId="0" fontId="65" fillId="22" borderId="0" xfId="0" applyFont="1" applyFill="1">
      <alignment vertical="center"/>
    </xf>
    <xf numFmtId="0" fontId="66" fillId="22" borderId="0" xfId="0" applyFont="1" applyFill="1" applyAlignment="1">
      <alignment vertical="center" wrapText="1"/>
    </xf>
    <xf numFmtId="0" fontId="68" fillId="22" borderId="0" xfId="0" applyFont="1" applyFill="1" applyAlignment="1">
      <alignment vertical="center" wrapText="1"/>
    </xf>
    <xf numFmtId="0" fontId="0" fillId="22" borderId="0" xfId="0" applyFill="1">
      <alignment vertical="center"/>
    </xf>
    <xf numFmtId="0" fontId="66" fillId="0" borderId="67" xfId="0" applyFont="1" applyBorder="1" applyAlignment="1">
      <alignment vertical="center" wrapText="1"/>
    </xf>
    <xf numFmtId="0" fontId="68" fillId="23" borderId="15" xfId="0" applyFont="1" applyFill="1" applyBorder="1" applyAlignment="1">
      <alignment vertical="center" wrapText="1"/>
    </xf>
    <xf numFmtId="0" fontId="0" fillId="0" borderId="75" xfId="0" applyBorder="1">
      <alignment vertical="center"/>
    </xf>
    <xf numFmtId="0" fontId="66" fillId="0" borderId="76" xfId="0" applyFont="1" applyBorder="1">
      <alignment vertical="center"/>
    </xf>
    <xf numFmtId="0" fontId="0" fillId="0" borderId="10" xfId="0" applyBorder="1">
      <alignment vertical="center"/>
    </xf>
    <xf numFmtId="0" fontId="80" fillId="0" borderId="11" xfId="0" applyFont="1" applyBorder="1">
      <alignment vertical="center"/>
    </xf>
    <xf numFmtId="0" fontId="66" fillId="0" borderId="16" xfId="0" applyFont="1" applyBorder="1" applyAlignment="1">
      <alignment vertical="center" wrapText="1"/>
    </xf>
    <xf numFmtId="0" fontId="68" fillId="23" borderId="1" xfId="0" applyFont="1" applyFill="1" applyBorder="1" applyAlignment="1">
      <alignment vertical="center" wrapText="1"/>
    </xf>
    <xf numFmtId="0" fontId="14" fillId="0" borderId="50" xfId="0" applyFont="1" applyBorder="1">
      <alignment vertical="center"/>
    </xf>
    <xf numFmtId="0" fontId="0" fillId="0" borderId="0" xfId="0" applyAlignment="1">
      <alignment horizontal="left" vertical="center"/>
    </xf>
    <xf numFmtId="176" fontId="14" fillId="6" borderId="0" xfId="0" applyNumberFormat="1" applyFont="1" applyFill="1" applyAlignment="1">
      <alignment horizontal="center" vertical="center"/>
    </xf>
    <xf numFmtId="0" fontId="13" fillId="13" borderId="0" xfId="0" applyFont="1" applyFill="1" applyAlignment="1">
      <alignment horizontal="center" vertical="center"/>
    </xf>
    <xf numFmtId="0" fontId="38" fillId="15" borderId="0" xfId="0" applyFont="1" applyFill="1" applyAlignment="1">
      <alignment horizontal="center" vertical="center"/>
    </xf>
    <xf numFmtId="0" fontId="16" fillId="0" borderId="0" xfId="0" applyFont="1" applyAlignment="1">
      <alignment horizontal="left" vertical="center"/>
    </xf>
    <xf numFmtId="38" fontId="16" fillId="3" borderId="50" xfId="0" applyNumberFormat="1" applyFont="1" applyFill="1" applyBorder="1" applyAlignment="1">
      <alignment horizontal="center" vertical="center"/>
    </xf>
    <xf numFmtId="0" fontId="39" fillId="0" borderId="50" xfId="0" applyFont="1" applyBorder="1" applyAlignment="1">
      <alignment horizontal="center" vertical="center"/>
    </xf>
    <xf numFmtId="41" fontId="16" fillId="0" borderId="50" xfId="2" applyFont="1" applyBorder="1" applyAlignment="1">
      <alignment horizontal="center" vertical="center"/>
    </xf>
    <xf numFmtId="41" fontId="40" fillId="0" borderId="50" xfId="1" applyNumberFormat="1" applyFont="1" applyBorder="1" applyAlignment="1">
      <alignment horizontal="center" vertical="center"/>
    </xf>
    <xf numFmtId="41" fontId="16" fillId="6" borderId="51" xfId="0" applyNumberFormat="1" applyFont="1" applyFill="1" applyBorder="1" applyAlignment="1">
      <alignment horizontal="center" vertical="center"/>
    </xf>
    <xf numFmtId="41" fontId="16" fillId="6" borderId="31" xfId="0" applyNumberFormat="1" applyFont="1" applyFill="1" applyBorder="1" applyAlignment="1">
      <alignment horizontal="center" vertical="center"/>
    </xf>
    <xf numFmtId="41" fontId="16" fillId="6" borderId="52" xfId="0" applyNumberFormat="1" applyFont="1" applyFill="1" applyBorder="1" applyAlignment="1">
      <alignment horizontal="center" vertical="center"/>
    </xf>
    <xf numFmtId="41" fontId="16" fillId="0" borderId="51" xfId="2" applyFont="1" applyBorder="1" applyAlignment="1">
      <alignment horizontal="center" vertical="center"/>
    </xf>
    <xf numFmtId="41" fontId="16" fillId="0" borderId="31" xfId="2" applyFont="1" applyBorder="1" applyAlignment="1">
      <alignment horizontal="center" vertical="center"/>
    </xf>
    <xf numFmtId="41" fontId="16" fillId="0" borderId="52" xfId="2" applyFont="1" applyBorder="1" applyAlignment="1">
      <alignment horizontal="center" vertical="center"/>
    </xf>
    <xf numFmtId="0" fontId="36" fillId="0" borderId="0" xfId="4" applyFont="1" applyAlignment="1">
      <alignment horizontal="center" vertical="center"/>
    </xf>
    <xf numFmtId="0" fontId="23" fillId="0" borderId="0" xfId="4" applyFont="1" applyAlignment="1">
      <alignment horizontal="center" vertical="center"/>
    </xf>
    <xf numFmtId="0" fontId="25" fillId="0" borderId="0" xfId="4" applyFont="1" applyAlignment="1">
      <alignment horizontal="left" vertical="center" wrapText="1"/>
    </xf>
    <xf numFmtId="0" fontId="26" fillId="0" borderId="0" xfId="4" applyFont="1" applyAlignment="1">
      <alignment horizontal="center" vertical="center" wrapText="1"/>
    </xf>
    <xf numFmtId="0" fontId="32" fillId="0" borderId="0" xfId="4" applyFont="1" applyAlignment="1">
      <alignment horizontal="left" vertical="center" wrapText="1"/>
    </xf>
    <xf numFmtId="31" fontId="34" fillId="0" borderId="0" xfId="4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9" borderId="29" xfId="0" applyFont="1" applyFill="1" applyBorder="1" applyAlignment="1">
      <alignment horizontal="center" vertical="center"/>
    </xf>
    <xf numFmtId="0" fontId="2" fillId="9" borderId="30" xfId="0" applyFont="1" applyFill="1" applyBorder="1" applyAlignment="1">
      <alignment horizontal="center" vertical="center"/>
    </xf>
    <xf numFmtId="0" fontId="2" fillId="9" borderId="6" xfId="0" applyFont="1" applyFill="1" applyBorder="1" applyAlignment="1">
      <alignment horizontal="center" vertical="center"/>
    </xf>
    <xf numFmtId="0" fontId="2" fillId="9" borderId="7" xfId="0" applyFont="1" applyFill="1" applyBorder="1" applyAlignment="1">
      <alignment horizontal="center" vertical="center"/>
    </xf>
    <xf numFmtId="0" fontId="14" fillId="10" borderId="16" xfId="0" applyFont="1" applyFill="1" applyBorder="1" applyAlignment="1">
      <alignment horizontal="center" vertical="center"/>
    </xf>
    <xf numFmtId="0" fontId="14" fillId="10" borderId="14" xfId="0" applyFont="1" applyFill="1" applyBorder="1" applyAlignment="1">
      <alignment horizontal="center" vertical="center"/>
    </xf>
    <xf numFmtId="0" fontId="2" fillId="9" borderId="10" xfId="0" applyFont="1" applyFill="1" applyBorder="1" applyAlignment="1">
      <alignment horizontal="center" vertical="center"/>
    </xf>
    <xf numFmtId="0" fontId="2" fillId="9" borderId="11" xfId="0" applyFont="1" applyFill="1" applyBorder="1" applyAlignment="1">
      <alignment horizontal="center" vertical="center"/>
    </xf>
    <xf numFmtId="41" fontId="18" fillId="0" borderId="35" xfId="2" applyFont="1" applyBorder="1" applyAlignment="1">
      <alignment horizontal="center" vertical="center"/>
    </xf>
    <xf numFmtId="41" fontId="18" fillId="0" borderId="41" xfId="2" applyFont="1" applyBorder="1" applyAlignment="1">
      <alignment horizontal="center" vertical="center"/>
    </xf>
    <xf numFmtId="0" fontId="0" fillId="0" borderId="33" xfId="0" applyBorder="1" applyAlignment="1">
      <alignment horizontal="left" vertical="center"/>
    </xf>
    <xf numFmtId="0" fontId="0" fillId="0" borderId="39" xfId="0" applyBorder="1" applyAlignment="1">
      <alignment horizontal="left" vertical="center"/>
    </xf>
    <xf numFmtId="0" fontId="0" fillId="0" borderId="32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2" fillId="9" borderId="2" xfId="0" applyFont="1" applyFill="1" applyBorder="1" applyAlignment="1">
      <alignment horizontal="center" vertical="center"/>
    </xf>
    <xf numFmtId="0" fontId="2" fillId="9" borderId="3" xfId="0" applyFont="1" applyFill="1" applyBorder="1" applyAlignment="1">
      <alignment horizontal="center" vertical="center"/>
    </xf>
    <xf numFmtId="0" fontId="2" fillId="9" borderId="4" xfId="0" applyFont="1" applyFill="1" applyBorder="1" applyAlignment="1">
      <alignment horizontal="center" vertical="center"/>
    </xf>
    <xf numFmtId="0" fontId="2" fillId="9" borderId="5" xfId="0" applyFont="1" applyFill="1" applyBorder="1" applyAlignment="1">
      <alignment horizontal="center" vertical="center"/>
    </xf>
    <xf numFmtId="41" fontId="0" fillId="0" borderId="35" xfId="2" applyFont="1" applyBorder="1" applyAlignment="1">
      <alignment horizontal="center" vertical="center"/>
    </xf>
    <xf numFmtId="41" fontId="0" fillId="0" borderId="41" xfId="2" applyFont="1" applyBorder="1" applyAlignment="1">
      <alignment horizontal="center" vertical="center"/>
    </xf>
    <xf numFmtId="38" fontId="0" fillId="0" borderId="35" xfId="2" applyNumberFormat="1" applyFont="1" applyBorder="1" applyAlignment="1">
      <alignment horizontal="center" vertical="center"/>
    </xf>
    <xf numFmtId="38" fontId="0" fillId="0" borderId="41" xfId="2" applyNumberFormat="1" applyFont="1" applyBorder="1" applyAlignment="1">
      <alignment horizontal="center" vertical="center"/>
    </xf>
    <xf numFmtId="0" fontId="2" fillId="9" borderId="8" xfId="0" applyFont="1" applyFill="1" applyBorder="1" applyAlignment="1">
      <alignment horizontal="center" vertical="center"/>
    </xf>
    <xf numFmtId="0" fontId="14" fillId="7" borderId="56" xfId="0" applyFont="1" applyFill="1" applyBorder="1" applyAlignment="1">
      <alignment horizontal="center" vertical="center"/>
    </xf>
    <xf numFmtId="0" fontId="14" fillId="7" borderId="57" xfId="0" applyFont="1" applyFill="1" applyBorder="1" applyAlignment="1">
      <alignment horizontal="center" vertical="center"/>
    </xf>
    <xf numFmtId="0" fontId="0" fillId="17" borderId="58" xfId="0" applyFill="1" applyBorder="1" applyAlignment="1">
      <alignment horizontal="center" vertical="center"/>
    </xf>
    <xf numFmtId="0" fontId="0" fillId="17" borderId="64" xfId="0" applyFill="1" applyBorder="1" applyAlignment="1">
      <alignment horizontal="center" vertical="center"/>
    </xf>
    <xf numFmtId="0" fontId="0" fillId="17" borderId="61" xfId="0" applyFill="1" applyBorder="1" applyAlignment="1">
      <alignment horizontal="center" vertical="center"/>
    </xf>
    <xf numFmtId="0" fontId="0" fillId="0" borderId="64" xfId="0" applyBorder="1" applyAlignment="1">
      <alignment horizontal="center" vertical="center"/>
    </xf>
    <xf numFmtId="0" fontId="0" fillId="0" borderId="61" xfId="0" applyBorder="1" applyAlignment="1">
      <alignment horizontal="center" vertical="center"/>
    </xf>
    <xf numFmtId="0" fontId="13" fillId="16" borderId="54" xfId="0" applyFont="1" applyFill="1" applyBorder="1" applyAlignment="1">
      <alignment horizontal="center" vertical="center"/>
    </xf>
    <xf numFmtId="0" fontId="14" fillId="17" borderId="53" xfId="0" applyFont="1" applyFill="1" applyBorder="1" applyAlignment="1">
      <alignment horizontal="center" vertical="center"/>
    </xf>
    <xf numFmtId="0" fontId="14" fillId="17" borderId="54" xfId="0" applyFont="1" applyFill="1" applyBorder="1" applyAlignment="1">
      <alignment horizontal="center" vertical="center"/>
    </xf>
    <xf numFmtId="0" fontId="13" fillId="16" borderId="55" xfId="0" applyFont="1" applyFill="1" applyBorder="1" applyAlignment="1">
      <alignment horizontal="center" vertical="center"/>
    </xf>
    <xf numFmtId="0" fontId="14" fillId="0" borderId="54" xfId="0" applyFont="1" applyBorder="1" applyAlignment="1">
      <alignment horizontal="center" vertical="center"/>
    </xf>
    <xf numFmtId="0" fontId="14" fillId="0" borderId="55" xfId="0" applyFont="1" applyBorder="1" applyAlignment="1">
      <alignment horizontal="center" vertical="center"/>
    </xf>
    <xf numFmtId="0" fontId="2" fillId="2" borderId="59" xfId="0" applyFont="1" applyFill="1" applyBorder="1" applyAlignment="1">
      <alignment horizontal="center" vertical="center"/>
    </xf>
    <xf numFmtId="0" fontId="2" fillId="2" borderId="62" xfId="0" applyFont="1" applyFill="1" applyBorder="1" applyAlignment="1">
      <alignment horizontal="center" vertical="center"/>
    </xf>
    <xf numFmtId="0" fontId="2" fillId="2" borderId="58" xfId="0" applyFont="1" applyFill="1" applyBorder="1" applyAlignment="1">
      <alignment horizontal="center" vertical="center"/>
    </xf>
    <xf numFmtId="0" fontId="2" fillId="2" borderId="61" xfId="0" applyFont="1" applyFill="1" applyBorder="1" applyAlignment="1">
      <alignment horizontal="center" vertical="center"/>
    </xf>
    <xf numFmtId="0" fontId="2" fillId="2" borderId="60" xfId="0" applyFont="1" applyFill="1" applyBorder="1" applyAlignment="1">
      <alignment horizontal="center" vertical="center"/>
    </xf>
    <xf numFmtId="0" fontId="48" fillId="0" borderId="0" xfId="4" applyFont="1" applyAlignment="1">
      <alignment horizontal="center" vertical="center"/>
    </xf>
    <xf numFmtId="0" fontId="0" fillId="7" borderId="0" xfId="0" applyFill="1" applyAlignment="1">
      <alignment horizontal="left" vertical="center"/>
    </xf>
  </cellXfs>
  <cellStyles count="5">
    <cellStyle name="강조색2" xfId="3" builtinId="33"/>
    <cellStyle name="쉼표 [0]" xfId="2" builtinId="6"/>
    <cellStyle name="표준" xfId="0" builtinId="0"/>
    <cellStyle name="표준 2" xfId="4" xr:uid="{A193B575-CF7D-3649-AC11-93B3858AF859}"/>
    <cellStyle name="하이퍼링크" xfId="1" builtinId="8"/>
  </cellStyles>
  <dxfs count="0"/>
  <tableStyles count="0" defaultTableStyle="TableStyleMedium2" defaultPivotStyle="PivotStyleLight16"/>
  <colors>
    <mruColors>
      <color rgb="FFFF4432"/>
      <color rgb="FFA446ED"/>
      <color rgb="FF2F2F2E"/>
      <color rgb="FFFF443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63500</xdr:colOff>
      <xdr:row>27</xdr:row>
      <xdr:rowOff>165100</xdr:rowOff>
    </xdr:from>
    <xdr:to>
      <xdr:col>9</xdr:col>
      <xdr:colOff>1692563</xdr:colOff>
      <xdr:row>50</xdr:row>
      <xdr:rowOff>215900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F29A6372-DFDC-9B42-9FB6-DA80ACF65E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318000" y="7810500"/>
          <a:ext cx="16294100" cy="53086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53</xdr:row>
      <xdr:rowOff>850900</xdr:rowOff>
    </xdr:from>
    <xdr:to>
      <xdr:col>10</xdr:col>
      <xdr:colOff>967509</xdr:colOff>
      <xdr:row>74</xdr:row>
      <xdr:rowOff>114301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6E991977-B8C2-5143-814E-87292CEFE4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864100" y="14439900"/>
          <a:ext cx="16510000" cy="4800600"/>
        </a:xfrm>
        <a:prstGeom prst="rect">
          <a:avLst/>
        </a:prstGeom>
      </xdr:spPr>
    </xdr:pic>
    <xdr:clientData/>
  </xdr:twoCellAnchor>
  <xdr:twoCellAnchor editAs="oneCell">
    <xdr:from>
      <xdr:col>4</xdr:col>
      <xdr:colOff>38100</xdr:colOff>
      <xdr:row>75</xdr:row>
      <xdr:rowOff>177800</xdr:rowOff>
    </xdr:from>
    <xdr:to>
      <xdr:col>11</xdr:col>
      <xdr:colOff>4170796</xdr:colOff>
      <xdr:row>94</xdr:row>
      <xdr:rowOff>165101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1FCEFB96-F5CB-0F4D-B3F7-61D1BEA20E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18100" y="19062700"/>
          <a:ext cx="21031200" cy="43307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12700</xdr:colOff>
      <xdr:row>25</xdr:row>
      <xdr:rowOff>50800</xdr:rowOff>
    </xdr:from>
    <xdr:to>
      <xdr:col>15</xdr:col>
      <xdr:colOff>126423</xdr:colOff>
      <xdr:row>44</xdr:row>
      <xdr:rowOff>81973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AE586F3F-6088-E740-8E23-107CFB22BD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28800" y="6654800"/>
          <a:ext cx="21017923" cy="4374573"/>
        </a:xfrm>
        <a:prstGeom prst="rect">
          <a:avLst/>
        </a:prstGeom>
        <a:ln w="88900" cap="sq" cmpd="thickThin">
          <a:solidFill>
            <a:srgbClr val="000000"/>
          </a:solidFill>
          <a:prstDash val="solid"/>
          <a:miter lim="800000"/>
        </a:ln>
        <a:effectLst>
          <a:innerShdw blurRad="76200">
            <a:srgbClr val="000000"/>
          </a:innerShdw>
        </a:effectLst>
      </xdr:spPr>
    </xdr:pic>
    <xdr:clientData/>
  </xdr:twoCellAnchor>
  <xdr:twoCellAnchor>
    <xdr:from>
      <xdr:col>10</xdr:col>
      <xdr:colOff>3378200</xdr:colOff>
      <xdr:row>5</xdr:row>
      <xdr:rowOff>12700</xdr:rowOff>
    </xdr:from>
    <xdr:to>
      <xdr:col>14</xdr:col>
      <xdr:colOff>127000</xdr:colOff>
      <xdr:row>13</xdr:row>
      <xdr:rowOff>88900</xdr:rowOff>
    </xdr:to>
    <xdr:sp macro="" textlink="">
      <xdr:nvSpPr>
        <xdr:cNvPr id="3" name="구름 2">
          <a:extLst>
            <a:ext uri="{FF2B5EF4-FFF2-40B4-BE49-F238E27FC236}">
              <a16:creationId xmlns:a16="http://schemas.microsoft.com/office/drawing/2014/main" id="{388E21E9-AC7C-3149-B105-6B6A8CC217BD}"/>
            </a:ext>
          </a:extLst>
        </xdr:cNvPr>
        <xdr:cNvSpPr/>
      </xdr:nvSpPr>
      <xdr:spPr>
        <a:xfrm>
          <a:off x="17716500" y="1155700"/>
          <a:ext cx="3924300" cy="2679700"/>
        </a:xfrm>
        <a:prstGeom prst="cloud">
          <a:avLst/>
        </a:prstGeom>
        <a:solidFill>
          <a:schemeClr val="accent1">
            <a:alpha val="2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ko-KR" altLang="en-US" sz="1100">
              <a:solidFill>
                <a:schemeClr val="tx1"/>
              </a:solidFill>
            </a:rPr>
            <a:t>* 여기가 논란의 시작점 </a:t>
          </a:r>
          <a:r>
            <a:rPr lang="en-US" altLang="ko-KR" sz="1100" b="1" u="sng">
              <a:solidFill>
                <a:schemeClr val="tx1"/>
              </a:solidFill>
            </a:rPr>
            <a:t>(</a:t>
          </a:r>
          <a:r>
            <a:rPr lang="ko-KR" altLang="en-US" sz="1100" b="1" u="sng">
              <a:solidFill>
                <a:schemeClr val="tx1"/>
              </a:solidFill>
            </a:rPr>
            <a:t> </a:t>
          </a:r>
          <a:r>
            <a:rPr lang="en-US" altLang="ko-KR" sz="1100" b="1" u="sng">
              <a:solidFill>
                <a:schemeClr val="tx1"/>
              </a:solidFill>
            </a:rPr>
            <a:t>"</a:t>
          </a:r>
          <a:r>
            <a:rPr lang="ko-KR" altLang="en-US" sz="1100" b="1" u="sng">
              <a:solidFill>
                <a:schemeClr val="tx1"/>
              </a:solidFill>
            </a:rPr>
            <a:t>인건비 </a:t>
          </a:r>
          <a:r>
            <a:rPr lang="en-US" altLang="ko-KR" sz="1100" b="1" u="sng">
              <a:solidFill>
                <a:schemeClr val="tx1"/>
              </a:solidFill>
            </a:rPr>
            <a:t>/</a:t>
          </a:r>
          <a:r>
            <a:rPr lang="ko-KR" altLang="en-US" sz="1100" b="1" u="sng">
              <a:solidFill>
                <a:schemeClr val="tx1"/>
              </a:solidFill>
            </a:rPr>
            <a:t> 월</a:t>
          </a:r>
          <a:r>
            <a:rPr lang="en-US" altLang="ko-KR" sz="1100" b="1" u="sng">
              <a:solidFill>
                <a:schemeClr val="tx1"/>
              </a:solidFill>
            </a:rPr>
            <a:t>")</a:t>
          </a:r>
          <a:br>
            <a:rPr lang="en-US" altLang="ko-KR" sz="1100" b="1" u="sng">
              <a:solidFill>
                <a:schemeClr val="tx1"/>
              </a:solidFill>
            </a:rPr>
          </a:br>
          <a:r>
            <a:rPr lang="ko-KR" altLang="en-US" sz="1100">
              <a:solidFill>
                <a:schemeClr val="tx1"/>
              </a:solidFill>
            </a:rPr>
            <a:t>* 단순한 오타</a:t>
          </a:r>
          <a:r>
            <a:rPr lang="en-US" altLang="ko-KR" sz="1100">
              <a:solidFill>
                <a:schemeClr val="tx1"/>
              </a:solidFill>
            </a:rPr>
            <a:t>('/</a:t>
          </a:r>
          <a:r>
            <a:rPr lang="ko-KR" altLang="en-US" sz="1100">
              <a:solidFill>
                <a:schemeClr val="tx1"/>
              </a:solidFill>
            </a:rPr>
            <a:t>월</a:t>
          </a:r>
          <a:r>
            <a:rPr lang="en-US" altLang="ko-KR" sz="1100">
              <a:solidFill>
                <a:schemeClr val="tx1"/>
              </a:solidFill>
            </a:rPr>
            <a:t>')</a:t>
          </a:r>
          <a:r>
            <a:rPr lang="ko-KR" altLang="en-US" sz="1100">
              <a:solidFill>
                <a:schemeClr val="tx1"/>
              </a:solidFill>
            </a:rPr>
            <a:t>가</a:t>
          </a:r>
          <a:r>
            <a:rPr lang="en-US" altLang="ko-KR" sz="1100">
              <a:solidFill>
                <a:schemeClr val="tx1"/>
              </a:solidFill>
            </a:rPr>
            <a:t>,</a:t>
          </a:r>
          <a:r>
            <a:rPr lang="ko-KR" altLang="en-US" sz="1100">
              <a:solidFill>
                <a:schemeClr val="tx1"/>
              </a:solidFill>
            </a:rPr>
            <a:t>  큰 논란을 불러온 계기가 됨 </a:t>
          </a:r>
          <a:r>
            <a:rPr lang="en-US" altLang="ko-KR" sz="1100">
              <a:solidFill>
                <a:schemeClr val="tx1"/>
              </a:solidFill>
            </a:rPr>
            <a:t>&gt;</a:t>
          </a:r>
          <a:r>
            <a:rPr lang="ko-KR" altLang="en-US" sz="1100" baseline="0">
              <a:solidFill>
                <a:schemeClr val="tx1"/>
              </a:solidFill>
            </a:rPr>
            <a:t> 연간 </a:t>
          </a:r>
          <a:r>
            <a:rPr lang="en-US" altLang="ko-KR" sz="1100" baseline="0">
              <a:solidFill>
                <a:schemeClr val="tx1"/>
              </a:solidFill>
            </a:rPr>
            <a:t>6</a:t>
          </a:r>
          <a:r>
            <a:rPr lang="ko-KR" altLang="en-US" sz="1100" baseline="0">
              <a:solidFill>
                <a:schemeClr val="tx1"/>
              </a:solidFill>
            </a:rPr>
            <a:t>천만원으로 오해하게 됐음</a:t>
          </a:r>
          <a:endParaRPr lang="ko-KR" altLang="en-US" sz="1100">
            <a:solidFill>
              <a:schemeClr val="tx1"/>
            </a:solidFill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12700</xdr:colOff>
      <xdr:row>25</xdr:row>
      <xdr:rowOff>50800</xdr:rowOff>
    </xdr:from>
    <xdr:to>
      <xdr:col>10</xdr:col>
      <xdr:colOff>3339523</xdr:colOff>
      <xdr:row>44</xdr:row>
      <xdr:rowOff>81973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F9C9D083-5DB8-B24D-B8D7-A59CFCA5BC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74800" y="6718300"/>
          <a:ext cx="21017923" cy="4374573"/>
        </a:xfrm>
        <a:prstGeom prst="rect">
          <a:avLst/>
        </a:prstGeom>
        <a:ln w="88900" cap="sq" cmpd="thickThin">
          <a:solidFill>
            <a:srgbClr val="000000"/>
          </a:solidFill>
          <a:prstDash val="solid"/>
          <a:miter lim="800000"/>
        </a:ln>
        <a:effectLst>
          <a:innerShdw blurRad="76200">
            <a:srgbClr val="000000"/>
          </a:innerShdw>
        </a:effec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28576</xdr:colOff>
      <xdr:row>0</xdr:row>
      <xdr:rowOff>1</xdr:rowOff>
    </xdr:from>
    <xdr:to>
      <xdr:col>1</xdr:col>
      <xdr:colOff>600075</xdr:colOff>
      <xdr:row>2</xdr:row>
      <xdr:rowOff>126206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A99D02CC-836D-1E47-BC90-FD39E8BF45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5576" y="1"/>
          <a:ext cx="571499" cy="58340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14</xdr:row>
      <xdr:rowOff>0</xdr:rowOff>
    </xdr:from>
    <xdr:to>
      <xdr:col>5</xdr:col>
      <xdr:colOff>304800</xdr:colOff>
      <xdr:row>15</xdr:row>
      <xdr:rowOff>76200</xdr:rowOff>
    </xdr:to>
    <xdr:sp macro="" textlink="">
      <xdr:nvSpPr>
        <xdr:cNvPr id="15362" name="AutoShape 2" descr="https://storage.worksmobile.com/k/oneapp/r/kr1.77656/77656/v2-77656-3995349033.338082425/image_20250620_08.47.06.png?channelNo=99847664&amp;callerNo=100000429582001&amp;ocn=1&amp;serviceId=works&amp;messageNo=3462">
          <a:extLst>
            <a:ext uri="{FF2B5EF4-FFF2-40B4-BE49-F238E27FC236}">
              <a16:creationId xmlns:a16="http://schemas.microsoft.com/office/drawing/2014/main" id="{8B074DBF-7020-F649-BD39-0DCBA331C05C}"/>
            </a:ext>
          </a:extLst>
        </xdr:cNvPr>
        <xdr:cNvSpPr>
          <a:spLocks noChangeAspect="1" noChangeArrowheads="1"/>
        </xdr:cNvSpPr>
      </xdr:nvSpPr>
      <xdr:spPr bwMode="auto">
        <a:xfrm>
          <a:off x="5930900" y="3721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304800</xdr:colOff>
      <xdr:row>13</xdr:row>
      <xdr:rowOff>63500</xdr:rowOff>
    </xdr:to>
    <xdr:sp macro="" textlink="">
      <xdr:nvSpPr>
        <xdr:cNvPr id="15363" name="AutoShape 3" descr="https://storage.worksmobile.com/k/oneapp/r/kr1.77656/77656/v2-77656-3995349033.338082425/image_20250620_08.47.06.png?channelNo=99847664&amp;callerNo=100000429582001&amp;ocn=1&amp;serviceId=works&amp;messageNo=3462">
          <a:extLst>
            <a:ext uri="{FF2B5EF4-FFF2-40B4-BE49-F238E27FC236}">
              <a16:creationId xmlns:a16="http://schemas.microsoft.com/office/drawing/2014/main" id="{415C04DE-0104-ED44-A85C-C6B68DA0AC40}"/>
            </a:ext>
          </a:extLst>
        </xdr:cNvPr>
        <xdr:cNvSpPr>
          <a:spLocks noChangeAspect="1" noChangeArrowheads="1"/>
        </xdr:cNvSpPr>
      </xdr:nvSpPr>
      <xdr:spPr bwMode="auto">
        <a:xfrm>
          <a:off x="3149600" y="349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38100</xdr:colOff>
      <xdr:row>30</xdr:row>
      <xdr:rowOff>0</xdr:rowOff>
    </xdr:from>
    <xdr:to>
      <xdr:col>8</xdr:col>
      <xdr:colOff>1625600</xdr:colOff>
      <xdr:row>38</xdr:row>
      <xdr:rowOff>12700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C54267E8-5628-8244-B183-66A855C099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0600" y="5918200"/>
          <a:ext cx="13995400" cy="1841500"/>
        </a:xfrm>
        <a:prstGeom prst="rect">
          <a:avLst/>
        </a:prstGeom>
      </xdr:spPr>
    </xdr:pic>
    <xdr:clientData/>
  </xdr:twoCellAnchor>
  <xdr:oneCellAnchor>
    <xdr:from>
      <xdr:col>3</xdr:col>
      <xdr:colOff>0</xdr:colOff>
      <xdr:row>14</xdr:row>
      <xdr:rowOff>0</xdr:rowOff>
    </xdr:from>
    <xdr:ext cx="304800" cy="304800"/>
    <xdr:sp macro="" textlink="">
      <xdr:nvSpPr>
        <xdr:cNvPr id="7" name="AutoShape 3" descr="https://storage.worksmobile.com/k/oneapp/r/kr1.77656/77656/v2-77656-3995349033.338082425/image_20250620_08.47.06.png?channelNo=99847664&amp;callerNo=100000429582001&amp;ocn=1&amp;serviceId=works&amp;messageNo=3462">
          <a:extLst>
            <a:ext uri="{FF2B5EF4-FFF2-40B4-BE49-F238E27FC236}">
              <a16:creationId xmlns:a16="http://schemas.microsoft.com/office/drawing/2014/main" id="{56007B94-869D-9A4C-BBB5-2BB3452C2250}"/>
            </a:ext>
          </a:extLst>
        </xdr:cNvPr>
        <xdr:cNvSpPr>
          <a:spLocks noChangeAspect="1" noChangeArrowheads="1"/>
        </xdr:cNvSpPr>
      </xdr:nvSpPr>
      <xdr:spPr bwMode="auto">
        <a:xfrm>
          <a:off x="4254500" y="3543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15</xdr:row>
      <xdr:rowOff>0</xdr:rowOff>
    </xdr:from>
    <xdr:ext cx="304800" cy="304800"/>
    <xdr:sp macro="" textlink="">
      <xdr:nvSpPr>
        <xdr:cNvPr id="8" name="AutoShape 3" descr="https://storage.worksmobile.com/k/oneapp/r/kr1.77656/77656/v2-77656-3995349033.338082425/image_20250620_08.47.06.png?channelNo=99847664&amp;callerNo=100000429582001&amp;ocn=1&amp;serviceId=works&amp;messageNo=3462">
          <a:extLst>
            <a:ext uri="{FF2B5EF4-FFF2-40B4-BE49-F238E27FC236}">
              <a16:creationId xmlns:a16="http://schemas.microsoft.com/office/drawing/2014/main" id="{929E07C7-1129-B345-8899-595334F96C85}"/>
            </a:ext>
          </a:extLst>
        </xdr:cNvPr>
        <xdr:cNvSpPr>
          <a:spLocks noChangeAspect="1" noChangeArrowheads="1"/>
        </xdr:cNvSpPr>
      </xdr:nvSpPr>
      <xdr:spPr bwMode="auto">
        <a:xfrm>
          <a:off x="4254500" y="3784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04800"/>
    <xdr:sp macro="" textlink="">
      <xdr:nvSpPr>
        <xdr:cNvPr id="9" name="AutoShape 3" descr="https://storage.worksmobile.com/k/oneapp/r/kr1.77656/77656/v2-77656-3995349033.338082425/image_20250620_08.47.06.png?channelNo=99847664&amp;callerNo=100000429582001&amp;ocn=1&amp;serviceId=works&amp;messageNo=3462">
          <a:extLst>
            <a:ext uri="{FF2B5EF4-FFF2-40B4-BE49-F238E27FC236}">
              <a16:creationId xmlns:a16="http://schemas.microsoft.com/office/drawing/2014/main" id="{D891936F-4332-F547-8980-E553D7C07594}"/>
            </a:ext>
          </a:extLst>
        </xdr:cNvPr>
        <xdr:cNvSpPr>
          <a:spLocks noChangeAspect="1" noChangeArrowheads="1"/>
        </xdr:cNvSpPr>
      </xdr:nvSpPr>
      <xdr:spPr bwMode="auto">
        <a:xfrm>
          <a:off x="4254500" y="4241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10</xdr:col>
      <xdr:colOff>635000</xdr:colOff>
      <xdr:row>5</xdr:row>
      <xdr:rowOff>0</xdr:rowOff>
    </xdr:from>
    <xdr:to>
      <xdr:col>18</xdr:col>
      <xdr:colOff>279400</xdr:colOff>
      <xdr:row>39</xdr:row>
      <xdr:rowOff>139700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55AEDFC6-3BD5-FC41-AD77-9E5ABEBDA8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7691100" y="1155700"/>
          <a:ext cx="7264400" cy="9067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hyperlink" Target="mailto:qpflxktmaleu123!@#" TargetMode="External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koreainvestment-pension.com/pc/tab_02/index.html" TargetMode="External"/><Relationship Id="rId7" Type="http://schemas.openxmlformats.org/officeDocument/2006/relationships/hyperlink" Target="http://223.130.154.29:3000/admin/event/ebiz/financial" TargetMode="External"/><Relationship Id="rId2" Type="http://schemas.openxmlformats.org/officeDocument/2006/relationships/hyperlink" Target="https://koreainvestment-event.com/ebiz/pc/" TargetMode="External"/><Relationship Id="rId1" Type="http://schemas.openxmlformats.org/officeDocument/2006/relationships/hyperlink" Target="http://223.130.154.29:3000/ebiz/pc" TargetMode="External"/><Relationship Id="rId6" Type="http://schemas.openxmlformats.org/officeDocument/2006/relationships/hyperlink" Target="http://223.130.154.29:3000/pb/pc" TargetMode="External"/><Relationship Id="rId5" Type="http://schemas.openxmlformats.org/officeDocument/2006/relationships/hyperlink" Target="https://koreainvestment-event.com/pb/pc/" TargetMode="External"/><Relationship Id="rId4" Type="http://schemas.openxmlformats.org/officeDocument/2006/relationships/hyperlink" Target="https://hantu.zusam.ai:8509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hyperlink" Target="mailto:veritasmedia.dev@gmail.com" TargetMode="External"/><Relationship Id="rId1" Type="http://schemas.openxmlformats.org/officeDocument/2006/relationships/hyperlink" Target="https://play.google.com/console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.bin"/></Relationships>
</file>

<file path=xl/worksheets/_rels/sheet9.xml.rels><?xml version="1.0" encoding="UTF-8" standalone="yes"?>
<Relationships xmlns="http://schemas.openxmlformats.org/package/2006/relationships"><Relationship Id="rId8" Type="http://schemas.openxmlformats.org/officeDocument/2006/relationships/hyperlink" Target="https://hantu.zusam.ai:8509/" TargetMode="External"/><Relationship Id="rId13" Type="http://schemas.openxmlformats.org/officeDocument/2006/relationships/vmlDrawing" Target="../drawings/vmlDrawing2.vml"/><Relationship Id="rId3" Type="http://schemas.openxmlformats.org/officeDocument/2006/relationships/hyperlink" Target="https://www.homecc.com/plan/shop_plan_exhb_view.do?planexhb=PEM20220926000000103" TargetMode="External"/><Relationship Id="rId7" Type="http://schemas.openxmlformats.org/officeDocument/2006/relationships/hyperlink" Target="https://www.kakaopaysec.com/admin/news/newsList.do?pageNo=1" TargetMode="External"/><Relationship Id="rId12" Type="http://schemas.openxmlformats.org/officeDocument/2006/relationships/hyperlink" Target="http://lab.veritasmedia.co.kr/redmine/projects/ibk-ui-ux/" TargetMode="External"/><Relationship Id="rId2" Type="http://schemas.openxmlformats.org/officeDocument/2006/relationships/hyperlink" Target="https://docs.google.com/spreadsheets/d/1PoLuGMm6jAjmviQDdv__MEBZ5ntLZnZQ-fRShlnzBKM/edit?gid=327166500" TargetMode="External"/><Relationship Id="rId1" Type="http://schemas.openxmlformats.org/officeDocument/2006/relationships/hyperlink" Target="https://docs.google.com/spreadsheets/d/1PoLuGMm6jAjmviQDdv__MEBZ5ntLZnZQ-fRShlnzBKM/edit?gid=327166500" TargetMode="External"/><Relationship Id="rId6" Type="http://schemas.openxmlformats.org/officeDocument/2006/relationships/hyperlink" Target="http://lab.veritasmedia.co.kr/redmine/projects/ibk-ui-ux/" TargetMode="External"/><Relationship Id="rId11" Type="http://schemas.openxmlformats.org/officeDocument/2006/relationships/hyperlink" Target="https://koreainvestment-event.com/pb/pc/" TargetMode="External"/><Relationship Id="rId5" Type="http://schemas.openxmlformats.org/officeDocument/2006/relationships/hyperlink" Target="https://event-capefn.com/" TargetMode="External"/><Relationship Id="rId10" Type="http://schemas.openxmlformats.org/officeDocument/2006/relationships/hyperlink" Target="https://koreainvestment-pension.com/pc/tab_02/index.html" TargetMode="External"/><Relationship Id="rId4" Type="http://schemas.openxmlformats.org/officeDocument/2006/relationships/hyperlink" Target="https://partnersclub.co.kr/" TargetMode="External"/><Relationship Id="rId9" Type="http://schemas.openxmlformats.org/officeDocument/2006/relationships/hyperlink" Target="https://koreainvestment-event.com/ebiz/pc/" TargetMode="External"/><Relationship Id="rId14" Type="http://schemas.openxmlformats.org/officeDocument/2006/relationships/comments" Target="../comments2.xml"/></Relationships>
</file>

<file path=xl/worksheets/_rels/sheet10.xml.rels><?xml version="1.0" encoding="UTF-8" standalone="yes"?>
<Relationships xmlns="http://schemas.openxmlformats.org/package/2006/relationships"><Relationship Id="rId8" Type="http://schemas.openxmlformats.org/officeDocument/2006/relationships/hyperlink" Target="https://sales.veritasconnect.com:8507/" TargetMode="External"/><Relationship Id="rId13" Type="http://schemas.openxmlformats.org/officeDocument/2006/relationships/hyperlink" Target="https://hantu.zusam.ai:8509/" TargetMode="External"/><Relationship Id="rId18" Type="http://schemas.openxmlformats.org/officeDocument/2006/relationships/hyperlink" Target="https://ui.zusam.ai/" TargetMode="External"/><Relationship Id="rId26" Type="http://schemas.openxmlformats.org/officeDocument/2006/relationships/hyperlink" Target="https://www.event-capefn.com/" TargetMode="External"/><Relationship Id="rId3" Type="http://schemas.openxmlformats.org/officeDocument/2006/relationships/hyperlink" Target="https://seo.zusam.ai/" TargetMode="External"/><Relationship Id="rId21" Type="http://schemas.openxmlformats.org/officeDocument/2006/relationships/hyperlink" Target="https://tools.zusam.ai/" TargetMode="External"/><Relationship Id="rId7" Type="http://schemas.openxmlformats.org/officeDocument/2006/relationships/hyperlink" Target="https://sales.veritasmedia.co.kr/" TargetMode="External"/><Relationship Id="rId12" Type="http://schemas.openxmlformats.org/officeDocument/2006/relationships/hyperlink" Target="http://223.130.154.29:3000/auth/login" TargetMode="External"/><Relationship Id="rId17" Type="http://schemas.openxmlformats.org/officeDocument/2006/relationships/hyperlink" Target="https://yolo.zusam.ai/" TargetMode="External"/><Relationship Id="rId25" Type="http://schemas.openxmlformats.org/officeDocument/2006/relationships/hyperlink" Target="https://koreainvestment-pension.com/pc/tab_02/index.html" TargetMode="External"/><Relationship Id="rId2" Type="http://schemas.openxmlformats.org/officeDocument/2006/relationships/hyperlink" Target="https://chat.zusam.ai/" TargetMode="External"/><Relationship Id="rId16" Type="http://schemas.openxmlformats.org/officeDocument/2006/relationships/hyperlink" Target="http://web.zusam.ai/" TargetMode="External"/><Relationship Id="rId20" Type="http://schemas.openxmlformats.org/officeDocument/2006/relationships/hyperlink" Target="https://zusam.im/" TargetMode="External"/><Relationship Id="rId29" Type="http://schemas.openxmlformats.org/officeDocument/2006/relationships/hyperlink" Target="https://www.daolsecurities.com/top.jsp" TargetMode="External"/><Relationship Id="rId1" Type="http://schemas.openxmlformats.org/officeDocument/2006/relationships/hyperlink" Target="https://zusam.ai/" TargetMode="External"/><Relationship Id="rId6" Type="http://schemas.openxmlformats.org/officeDocument/2006/relationships/hyperlink" Target="https://sales.veritasconnect.com:8503/" TargetMode="External"/><Relationship Id="rId11" Type="http://schemas.openxmlformats.org/officeDocument/2006/relationships/hyperlink" Target="http://223.130.154.29:3000/ebiz/pc" TargetMode="External"/><Relationship Id="rId24" Type="http://schemas.openxmlformats.org/officeDocument/2006/relationships/hyperlink" Target="https://vap.veritasconnect.com/" TargetMode="External"/><Relationship Id="rId5" Type="http://schemas.openxmlformats.org/officeDocument/2006/relationships/hyperlink" Target="https://keyword.zusam.ai/" TargetMode="External"/><Relationship Id="rId15" Type="http://schemas.openxmlformats.org/officeDocument/2006/relationships/hyperlink" Target="http://192.168.1.5/analysis/daily/veritas2024" TargetMode="External"/><Relationship Id="rId23" Type="http://schemas.openxmlformats.org/officeDocument/2006/relationships/hyperlink" Target="http://zusam.ai:11434/" TargetMode="External"/><Relationship Id="rId28" Type="http://schemas.openxmlformats.org/officeDocument/2006/relationships/hyperlink" Target="https://koreainvestment-event.com/ebiz/pc/" TargetMode="External"/><Relationship Id="rId10" Type="http://schemas.openxmlformats.org/officeDocument/2006/relationships/hyperlink" Target="https://report.veritasconnect.com/" TargetMode="External"/><Relationship Id="rId19" Type="http://schemas.openxmlformats.org/officeDocument/2006/relationships/hyperlink" Target="https://search.zusam.ai/" TargetMode="External"/><Relationship Id="rId31" Type="http://schemas.openxmlformats.org/officeDocument/2006/relationships/hyperlink" Target="https://partnersclub.co.kr/" TargetMode="External"/><Relationship Id="rId4" Type="http://schemas.openxmlformats.org/officeDocument/2006/relationships/hyperlink" Target="https://sns.zusam.ai/" TargetMode="External"/><Relationship Id="rId9" Type="http://schemas.openxmlformats.org/officeDocument/2006/relationships/hyperlink" Target="https://veritasconnect.com/" TargetMode="External"/><Relationship Id="rId14" Type="http://schemas.openxmlformats.org/officeDocument/2006/relationships/hyperlink" Target="https://report.veritasconnect.com/utm/" TargetMode="External"/><Relationship Id="rId22" Type="http://schemas.openxmlformats.org/officeDocument/2006/relationships/hyperlink" Target="https://api.zusam.ai/api/docs" TargetMode="External"/><Relationship Id="rId27" Type="http://schemas.openxmlformats.org/officeDocument/2006/relationships/hyperlink" Target="http://lab.veritasmedia.co.kr/redmine/projects/ibk-ui-ux/" TargetMode="External"/><Relationship Id="rId30" Type="http://schemas.openxmlformats.org/officeDocument/2006/relationships/hyperlink" Target="https://www.kakaopaysec.com/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2.xml.rels><?xml version="1.0" encoding="UTF-8" standalone="yes"?>
<Relationships xmlns="http://schemas.openxmlformats.org/package/2006/relationships"><Relationship Id="rId8" Type="http://schemas.openxmlformats.org/officeDocument/2006/relationships/hyperlink" Target="https://replicate.com/account/billing" TargetMode="External"/><Relationship Id="rId13" Type="http://schemas.openxmlformats.org/officeDocument/2006/relationships/hyperlink" Target="mailto:ai@veritasconnect.com" TargetMode="External"/><Relationship Id="rId18" Type="http://schemas.openxmlformats.org/officeDocument/2006/relationships/hyperlink" Target="mailto:ai@veritasconnect.com" TargetMode="External"/><Relationship Id="rId3" Type="http://schemas.openxmlformats.org/officeDocument/2006/relationships/hyperlink" Target="https://platform.openai.com/" TargetMode="External"/><Relationship Id="rId21" Type="http://schemas.openxmlformats.org/officeDocument/2006/relationships/hyperlink" Target="https://console.anthropic.com/cost" TargetMode="External"/><Relationship Id="rId7" Type="http://schemas.openxmlformats.org/officeDocument/2006/relationships/hyperlink" Target="https://chatgpt.com/" TargetMode="External"/><Relationship Id="rId12" Type="http://schemas.openxmlformats.org/officeDocument/2006/relationships/hyperlink" Target="mailto:ai@veritasconnect.com" TargetMode="External"/><Relationship Id="rId17" Type="http://schemas.openxmlformats.org/officeDocument/2006/relationships/hyperlink" Target="mailto:ai@veritasconnect.com" TargetMode="External"/><Relationship Id="rId25" Type="http://schemas.openxmlformats.org/officeDocument/2006/relationships/comments" Target="../comments3.xml"/><Relationship Id="rId2" Type="http://schemas.openxmlformats.org/officeDocument/2006/relationships/hyperlink" Target="mailto:zankke@gmail.com" TargetMode="External"/><Relationship Id="rId16" Type="http://schemas.openxmlformats.org/officeDocument/2006/relationships/hyperlink" Target="https://sora.chatgpt.com/" TargetMode="External"/><Relationship Id="rId20" Type="http://schemas.openxmlformats.org/officeDocument/2006/relationships/hyperlink" Target="mailto:ai@veritasconnect.com" TargetMode="External"/><Relationship Id="rId1" Type="http://schemas.openxmlformats.org/officeDocument/2006/relationships/hyperlink" Target="https://elevenlabs.io/app/subscription" TargetMode="External"/><Relationship Id="rId6" Type="http://schemas.openxmlformats.org/officeDocument/2006/relationships/hyperlink" Target="mailto:ai@veritasconnect.com" TargetMode="External"/><Relationship Id="rId11" Type="http://schemas.openxmlformats.org/officeDocument/2006/relationships/hyperlink" Target="https://billing.stripe.com/p/login/aEUdRA5Wc8t25a03cc?referer=invoice_receipt" TargetMode="External"/><Relationship Id="rId24" Type="http://schemas.openxmlformats.org/officeDocument/2006/relationships/vmlDrawing" Target="../drawings/vmlDrawing3.vml"/><Relationship Id="rId5" Type="http://schemas.openxmlformats.org/officeDocument/2006/relationships/hyperlink" Target="https://sora.chatgpt.com/" TargetMode="External"/><Relationship Id="rId15" Type="http://schemas.openxmlformats.org/officeDocument/2006/relationships/hyperlink" Target="mailto:ai@veritasconnect.com" TargetMode="External"/><Relationship Id="rId23" Type="http://schemas.openxmlformats.org/officeDocument/2006/relationships/drawing" Target="../drawings/drawing5.xml"/><Relationship Id="rId10" Type="http://schemas.openxmlformats.org/officeDocument/2006/relationships/hyperlink" Target="https://serpapi.com/" TargetMode="External"/><Relationship Id="rId19" Type="http://schemas.openxmlformats.org/officeDocument/2006/relationships/hyperlink" Target="https://www.veed.io/ai-studio" TargetMode="External"/><Relationship Id="rId4" Type="http://schemas.openxmlformats.org/officeDocument/2006/relationships/hyperlink" Target="mailto:ai@veritasconnect.com" TargetMode="External"/><Relationship Id="rId9" Type="http://schemas.openxmlformats.org/officeDocument/2006/relationships/hyperlink" Target="mailto:ai@veritasconnect.com" TargetMode="External"/><Relationship Id="rId14" Type="http://schemas.openxmlformats.org/officeDocument/2006/relationships/hyperlink" Target="https://veo3.ai/" TargetMode="External"/><Relationship Id="rId22" Type="http://schemas.openxmlformats.org/officeDocument/2006/relationships/hyperlink" Target="mailto:ai@veritasconnec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CC1873-C333-AD4D-A3EA-91D19D394B69}">
  <sheetPr>
    <tabColor rgb="FFC00000"/>
  </sheetPr>
  <dimension ref="B1:N103"/>
  <sheetViews>
    <sheetView zoomScale="88" zoomScaleNormal="88" workbookViewId="0">
      <pane ySplit="1" topLeftCell="A2" activePane="bottomLeft" state="frozen"/>
      <selection pane="bottomLeft" activeCell="C36" sqref="C36"/>
    </sheetView>
  </sheetViews>
  <sheetFormatPr baseColWidth="10" defaultRowHeight="18"/>
  <cols>
    <col min="2" max="2" width="12.7109375" bestFit="1" customWidth="1"/>
    <col min="3" max="3" width="26.42578125" bestFit="1" customWidth="1"/>
    <col min="4" max="4" width="9.28515625" bestFit="1" customWidth="1"/>
    <col min="5" max="5" width="35" bestFit="1" customWidth="1"/>
    <col min="6" max="6" width="24.42578125" bestFit="1" customWidth="1"/>
    <col min="7" max="7" width="54.5703125" bestFit="1" customWidth="1"/>
    <col min="8" max="8" width="21.140625" bestFit="1" customWidth="1"/>
    <col min="9" max="9" width="20.42578125" bestFit="1" customWidth="1"/>
    <col min="10" max="10" width="19.140625" bestFit="1" customWidth="1"/>
    <col min="11" max="11" width="15.28515625" bestFit="1" customWidth="1"/>
    <col min="12" max="12" width="51.7109375" bestFit="1" customWidth="1"/>
    <col min="13" max="13" width="28.42578125" bestFit="1" customWidth="1"/>
  </cols>
  <sheetData>
    <row r="1" spans="2:14" s="14" customFormat="1" ht="61" customHeight="1">
      <c r="B1" s="176" t="s">
        <v>213</v>
      </c>
      <c r="C1" s="176" t="s">
        <v>99</v>
      </c>
      <c r="D1" s="176" t="s">
        <v>101</v>
      </c>
      <c r="E1" s="176" t="s">
        <v>217</v>
      </c>
      <c r="F1" s="176" t="s">
        <v>104</v>
      </c>
      <c r="G1" s="176" t="s">
        <v>105</v>
      </c>
      <c r="H1" s="176" t="s">
        <v>110</v>
      </c>
      <c r="I1" s="176" t="s">
        <v>13</v>
      </c>
      <c r="J1" s="176" t="s">
        <v>126</v>
      </c>
      <c r="K1" s="176" t="s">
        <v>106</v>
      </c>
      <c r="L1" s="176" t="s">
        <v>145</v>
      </c>
      <c r="M1" s="176" t="s">
        <v>168</v>
      </c>
    </row>
    <row r="2" spans="2:14" ht="19">
      <c r="B2" t="s">
        <v>15</v>
      </c>
      <c r="C2" s="9" t="s">
        <v>100</v>
      </c>
      <c r="D2" t="s">
        <v>102</v>
      </c>
      <c r="E2" t="s">
        <v>16</v>
      </c>
      <c r="F2" t="s">
        <v>103</v>
      </c>
      <c r="G2" s="7" t="s">
        <v>109</v>
      </c>
      <c r="H2" t="s">
        <v>116</v>
      </c>
      <c r="I2" t="s">
        <v>107</v>
      </c>
      <c r="J2" t="s">
        <v>16</v>
      </c>
      <c r="K2" t="s">
        <v>17</v>
      </c>
      <c r="L2" s="5" t="s">
        <v>143</v>
      </c>
    </row>
    <row r="3" spans="2:14" ht="19">
      <c r="D3" t="s">
        <v>102</v>
      </c>
      <c r="E3" t="s">
        <v>93</v>
      </c>
      <c r="F3" t="s">
        <v>103</v>
      </c>
      <c r="G3" s="6" t="s">
        <v>108</v>
      </c>
      <c r="H3" t="s">
        <v>114</v>
      </c>
      <c r="I3" t="s">
        <v>111</v>
      </c>
      <c r="J3" t="s">
        <v>93</v>
      </c>
      <c r="K3" t="s">
        <v>92</v>
      </c>
      <c r="L3" s="8" t="s">
        <v>144</v>
      </c>
    </row>
    <row r="4" spans="2:14">
      <c r="D4" t="s">
        <v>102</v>
      </c>
      <c r="E4" t="s">
        <v>112</v>
      </c>
      <c r="F4" t="s">
        <v>103</v>
      </c>
      <c r="G4" s="6" t="s">
        <v>113</v>
      </c>
      <c r="H4" t="s">
        <v>115</v>
      </c>
      <c r="I4" t="s">
        <v>112</v>
      </c>
      <c r="J4" t="s">
        <v>112</v>
      </c>
      <c r="K4" t="s">
        <v>117</v>
      </c>
      <c r="L4" s="194" t="s">
        <v>482</v>
      </c>
    </row>
    <row r="5" spans="2:14">
      <c r="D5" t="s">
        <v>102</v>
      </c>
      <c r="E5" t="s">
        <v>118</v>
      </c>
      <c r="F5" t="s">
        <v>103</v>
      </c>
      <c r="G5" s="6" t="s">
        <v>113</v>
      </c>
      <c r="H5" t="s">
        <v>119</v>
      </c>
      <c r="I5" t="s">
        <v>121</v>
      </c>
      <c r="J5" t="s">
        <v>146</v>
      </c>
      <c r="K5" t="s">
        <v>120</v>
      </c>
      <c r="L5" s="194" t="s">
        <v>482</v>
      </c>
    </row>
    <row r="6" spans="2:14">
      <c r="D6" t="s">
        <v>102</v>
      </c>
      <c r="E6" t="s">
        <v>98</v>
      </c>
      <c r="F6" t="s">
        <v>122</v>
      </c>
      <c r="G6" s="6" t="s">
        <v>123</v>
      </c>
      <c r="H6" t="s">
        <v>124</v>
      </c>
      <c r="I6" t="s">
        <v>98</v>
      </c>
      <c r="J6" t="s">
        <v>98</v>
      </c>
      <c r="K6" t="s">
        <v>97</v>
      </c>
      <c r="L6" s="194" t="s">
        <v>482</v>
      </c>
    </row>
    <row r="7" spans="2:14">
      <c r="D7" t="s">
        <v>102</v>
      </c>
      <c r="E7" t="s">
        <v>125</v>
      </c>
      <c r="F7" t="s">
        <v>103</v>
      </c>
      <c r="G7" s="6" t="s">
        <v>128</v>
      </c>
      <c r="H7" t="s">
        <v>129</v>
      </c>
      <c r="I7" t="s">
        <v>130</v>
      </c>
      <c r="J7" t="s">
        <v>127</v>
      </c>
      <c r="K7" t="s">
        <v>95</v>
      </c>
      <c r="L7" s="194" t="s">
        <v>482</v>
      </c>
    </row>
    <row r="8" spans="2:14">
      <c r="D8" t="s">
        <v>102</v>
      </c>
      <c r="E8" t="s">
        <v>131</v>
      </c>
      <c r="F8" t="s">
        <v>103</v>
      </c>
      <c r="G8" s="6" t="s">
        <v>132</v>
      </c>
      <c r="H8" t="s">
        <v>133</v>
      </c>
      <c r="I8" t="s">
        <v>121</v>
      </c>
      <c r="J8" t="s">
        <v>131</v>
      </c>
      <c r="K8" t="s">
        <v>134</v>
      </c>
      <c r="L8" s="194" t="s">
        <v>482</v>
      </c>
    </row>
    <row r="9" spans="2:14">
      <c r="D9" t="s">
        <v>102</v>
      </c>
      <c r="E9" t="s">
        <v>135</v>
      </c>
      <c r="F9" t="s">
        <v>136</v>
      </c>
      <c r="G9" s="6" t="s">
        <v>132</v>
      </c>
      <c r="H9" t="s">
        <v>152</v>
      </c>
      <c r="I9" t="s">
        <v>121</v>
      </c>
      <c r="J9" t="s">
        <v>137</v>
      </c>
      <c r="K9" t="s">
        <v>139</v>
      </c>
      <c r="L9" s="194" t="s">
        <v>482</v>
      </c>
    </row>
    <row r="10" spans="2:14">
      <c r="D10" t="s">
        <v>102</v>
      </c>
      <c r="E10" t="s">
        <v>138</v>
      </c>
      <c r="F10" t="s">
        <v>140</v>
      </c>
      <c r="G10" s="6" t="s">
        <v>132</v>
      </c>
      <c r="H10" t="s">
        <v>141</v>
      </c>
      <c r="I10" t="s">
        <v>121</v>
      </c>
      <c r="J10" t="s">
        <v>137</v>
      </c>
      <c r="K10" t="s">
        <v>142</v>
      </c>
      <c r="L10" s="194" t="s">
        <v>482</v>
      </c>
    </row>
    <row r="11" spans="2:14">
      <c r="L11" s="194"/>
    </row>
    <row r="12" spans="2:14">
      <c r="D12" t="s">
        <v>147</v>
      </c>
      <c r="E12" t="s">
        <v>148</v>
      </c>
      <c r="F12" t="s">
        <v>149</v>
      </c>
      <c r="G12" s="6" t="s">
        <v>150</v>
      </c>
      <c r="H12" t="s">
        <v>151</v>
      </c>
      <c r="I12" s="9" t="s">
        <v>154</v>
      </c>
      <c r="J12" t="s">
        <v>16</v>
      </c>
      <c r="K12" t="s">
        <v>86</v>
      </c>
      <c r="L12" t="s">
        <v>153</v>
      </c>
    </row>
    <row r="13" spans="2:14">
      <c r="D13" t="s">
        <v>147</v>
      </c>
      <c r="E13" t="s">
        <v>155</v>
      </c>
      <c r="F13" t="s">
        <v>149</v>
      </c>
      <c r="G13" s="6" t="s">
        <v>156</v>
      </c>
      <c r="H13" t="s">
        <v>159</v>
      </c>
      <c r="K13" t="s">
        <v>157</v>
      </c>
      <c r="L13" t="s">
        <v>158</v>
      </c>
    </row>
    <row r="14" spans="2:14">
      <c r="D14" s="195" t="s">
        <v>147</v>
      </c>
      <c r="E14" s="195" t="s">
        <v>477</v>
      </c>
      <c r="F14" s="195" t="s">
        <v>149</v>
      </c>
      <c r="G14" s="196" t="s">
        <v>478</v>
      </c>
      <c r="H14" s="195" t="s">
        <v>479</v>
      </c>
      <c r="I14" s="195" t="s">
        <v>483</v>
      </c>
      <c r="J14" s="195" t="s">
        <v>480</v>
      </c>
      <c r="K14" s="195" t="s">
        <v>481</v>
      </c>
      <c r="L14" s="197" t="s">
        <v>484</v>
      </c>
      <c r="N14" s="12">
        <v>45791</v>
      </c>
    </row>
    <row r="16" spans="2:14">
      <c r="C16" s="9" t="s">
        <v>162</v>
      </c>
      <c r="D16" t="s">
        <v>102</v>
      </c>
      <c r="E16" t="s">
        <v>160</v>
      </c>
      <c r="F16" t="s">
        <v>163</v>
      </c>
      <c r="G16" t="s">
        <v>113</v>
      </c>
      <c r="H16" t="s">
        <v>166</v>
      </c>
      <c r="I16" t="s">
        <v>121</v>
      </c>
      <c r="J16" t="s">
        <v>160</v>
      </c>
      <c r="K16" t="s">
        <v>165</v>
      </c>
      <c r="L16" t="s">
        <v>164</v>
      </c>
      <c r="M16" t="s">
        <v>167</v>
      </c>
    </row>
    <row r="17" spans="3:14">
      <c r="C17" s="10"/>
    </row>
    <row r="18" spans="3:14">
      <c r="C18" t="s">
        <v>204</v>
      </c>
      <c r="E18" s="4" t="s">
        <v>205</v>
      </c>
    </row>
    <row r="19" spans="3:14">
      <c r="C19" s="10"/>
    </row>
    <row r="20" spans="3:14" ht="19">
      <c r="C20" s="230" t="s">
        <v>161</v>
      </c>
      <c r="D20" s="230" t="s">
        <v>102</v>
      </c>
      <c r="E20" s="230" t="s">
        <v>169</v>
      </c>
      <c r="F20" s="230" t="s">
        <v>170</v>
      </c>
      <c r="G20" s="230" t="s">
        <v>113</v>
      </c>
      <c r="H20" s="230" t="s">
        <v>550</v>
      </c>
      <c r="I20" s="230" t="s">
        <v>121</v>
      </c>
      <c r="J20" s="230" t="s">
        <v>172</v>
      </c>
      <c r="K20" s="230" t="s">
        <v>171</v>
      </c>
      <c r="L20" s="230"/>
      <c r="M20" s="231" t="s">
        <v>489</v>
      </c>
      <c r="N20" s="230" t="s">
        <v>551</v>
      </c>
    </row>
    <row r="21" spans="3:14" ht="38">
      <c r="D21" t="s">
        <v>147</v>
      </c>
      <c r="E21" t="s">
        <v>173</v>
      </c>
      <c r="F21" t="s">
        <v>174</v>
      </c>
      <c r="G21" t="s">
        <v>175</v>
      </c>
      <c r="J21" t="s">
        <v>177</v>
      </c>
      <c r="K21" t="s">
        <v>176</v>
      </c>
      <c r="M21" s="5" t="s">
        <v>490</v>
      </c>
    </row>
    <row r="22" spans="3:14">
      <c r="D22" t="s">
        <v>147</v>
      </c>
      <c r="E22" t="s">
        <v>178</v>
      </c>
      <c r="F22" t="s">
        <v>174</v>
      </c>
      <c r="G22" t="s">
        <v>179</v>
      </c>
      <c r="J22" t="s">
        <v>177</v>
      </c>
      <c r="K22" t="s">
        <v>180</v>
      </c>
    </row>
    <row r="23" spans="3:14">
      <c r="D23" t="s">
        <v>147</v>
      </c>
      <c r="E23" t="s">
        <v>181</v>
      </c>
      <c r="F23" t="s">
        <v>174</v>
      </c>
      <c r="G23" t="s">
        <v>182</v>
      </c>
      <c r="J23" t="s">
        <v>177</v>
      </c>
      <c r="K23" t="s">
        <v>183</v>
      </c>
    </row>
    <row r="24" spans="3:14">
      <c r="D24" t="s">
        <v>147</v>
      </c>
      <c r="E24" t="s">
        <v>184</v>
      </c>
      <c r="F24" t="s">
        <v>174</v>
      </c>
      <c r="G24" t="s">
        <v>182</v>
      </c>
      <c r="J24" t="s">
        <v>177</v>
      </c>
      <c r="K24" t="s">
        <v>185</v>
      </c>
    </row>
    <row r="25" spans="3:14">
      <c r="D25" t="s">
        <v>147</v>
      </c>
      <c r="E25" t="s">
        <v>186</v>
      </c>
      <c r="F25" t="s">
        <v>174</v>
      </c>
      <c r="G25" t="s">
        <v>182</v>
      </c>
      <c r="J25" t="s">
        <v>187</v>
      </c>
      <c r="K25" t="s">
        <v>188</v>
      </c>
    </row>
    <row r="26" spans="3:14">
      <c r="D26" t="s">
        <v>147</v>
      </c>
      <c r="E26" t="s">
        <v>189</v>
      </c>
      <c r="F26" t="s">
        <v>174</v>
      </c>
      <c r="G26" t="s">
        <v>182</v>
      </c>
      <c r="J26" t="s">
        <v>187</v>
      </c>
      <c r="K26" t="s">
        <v>190</v>
      </c>
    </row>
    <row r="27" spans="3:14" ht="76">
      <c r="D27" t="s">
        <v>191</v>
      </c>
      <c r="E27" t="s">
        <v>192</v>
      </c>
      <c r="H27" s="5" t="s">
        <v>193</v>
      </c>
      <c r="K27" t="s">
        <v>194</v>
      </c>
    </row>
    <row r="28" spans="3:14">
      <c r="D28" s="252"/>
      <c r="E28" s="252"/>
      <c r="F28" s="252"/>
      <c r="G28" s="252"/>
      <c r="H28" s="252"/>
      <c r="I28" s="252"/>
      <c r="J28" s="252"/>
      <c r="K28" s="252"/>
    </row>
    <row r="29" spans="3:14">
      <c r="D29" s="252"/>
      <c r="E29" s="252"/>
      <c r="F29" s="252"/>
      <c r="G29" s="252"/>
      <c r="H29" s="252"/>
      <c r="I29" s="252"/>
      <c r="J29" s="252"/>
      <c r="K29" s="252"/>
    </row>
    <row r="30" spans="3:14">
      <c r="D30" s="252"/>
      <c r="E30" s="252"/>
      <c r="F30" s="252"/>
      <c r="G30" s="252"/>
      <c r="H30" s="252"/>
      <c r="I30" s="252"/>
      <c r="J30" s="252"/>
      <c r="K30" s="252"/>
    </row>
    <row r="31" spans="3:14">
      <c r="D31" s="252"/>
      <c r="E31" s="252"/>
      <c r="F31" s="252"/>
      <c r="G31" s="252"/>
      <c r="H31" s="252"/>
      <c r="I31" s="252"/>
      <c r="J31" s="252"/>
      <c r="K31" s="252"/>
    </row>
    <row r="32" spans="3:14">
      <c r="D32" s="252"/>
      <c r="E32" s="252"/>
      <c r="F32" s="252"/>
      <c r="G32" s="252"/>
      <c r="H32" s="252"/>
      <c r="I32" s="252"/>
      <c r="J32" s="252"/>
      <c r="K32" s="252"/>
    </row>
    <row r="33" spans="4:11">
      <c r="D33" s="252"/>
      <c r="E33" s="252"/>
      <c r="F33" s="252"/>
      <c r="G33" s="252"/>
      <c r="H33" s="252"/>
      <c r="I33" s="252"/>
      <c r="J33" s="252"/>
      <c r="K33" s="252"/>
    </row>
    <row r="34" spans="4:11">
      <c r="D34" s="252"/>
      <c r="E34" s="252"/>
      <c r="F34" s="252"/>
      <c r="G34" s="252"/>
      <c r="H34" s="252"/>
      <c r="I34" s="252"/>
      <c r="J34" s="252"/>
      <c r="K34" s="252"/>
    </row>
    <row r="35" spans="4:11">
      <c r="D35" s="252"/>
      <c r="E35" s="252"/>
      <c r="F35" s="252"/>
      <c r="G35" s="252"/>
      <c r="H35" s="252"/>
      <c r="I35" s="252"/>
      <c r="J35" s="252"/>
      <c r="K35" s="252"/>
    </row>
    <row r="36" spans="4:11">
      <c r="D36" s="252"/>
      <c r="E36" s="252"/>
      <c r="F36" s="252"/>
      <c r="G36" s="252"/>
      <c r="H36" s="252"/>
      <c r="I36" s="252"/>
      <c r="J36" s="252"/>
      <c r="K36" s="252"/>
    </row>
    <row r="37" spans="4:11">
      <c r="D37" s="252"/>
      <c r="E37" s="252"/>
      <c r="F37" s="252"/>
      <c r="G37" s="252"/>
      <c r="H37" s="252"/>
      <c r="I37" s="252"/>
      <c r="J37" s="252"/>
      <c r="K37" s="252"/>
    </row>
    <row r="38" spans="4:11">
      <c r="D38" s="252"/>
      <c r="E38" s="252"/>
      <c r="F38" s="252"/>
      <c r="G38" s="252"/>
      <c r="H38" s="252"/>
      <c r="I38" s="252"/>
      <c r="J38" s="252"/>
      <c r="K38" s="252"/>
    </row>
    <row r="39" spans="4:11">
      <c r="D39" s="252"/>
      <c r="E39" s="252"/>
      <c r="F39" s="252"/>
      <c r="G39" s="252"/>
      <c r="H39" s="252"/>
      <c r="I39" s="252"/>
      <c r="J39" s="252"/>
      <c r="K39" s="252"/>
    </row>
    <row r="40" spans="4:11">
      <c r="D40" s="252"/>
      <c r="E40" s="252"/>
      <c r="F40" s="252"/>
      <c r="G40" s="252"/>
      <c r="H40" s="252"/>
      <c r="I40" s="252"/>
      <c r="J40" s="252"/>
      <c r="K40" s="252"/>
    </row>
    <row r="41" spans="4:11">
      <c r="D41" s="252"/>
      <c r="E41" s="252"/>
      <c r="F41" s="252"/>
      <c r="G41" s="252"/>
      <c r="H41" s="252"/>
      <c r="I41" s="252"/>
      <c r="J41" s="252"/>
      <c r="K41" s="252"/>
    </row>
    <row r="42" spans="4:11">
      <c r="D42" s="252"/>
      <c r="E42" s="252"/>
      <c r="F42" s="252"/>
      <c r="G42" s="252"/>
      <c r="H42" s="252"/>
      <c r="I42" s="252"/>
      <c r="J42" s="252"/>
      <c r="K42" s="252"/>
    </row>
    <row r="43" spans="4:11">
      <c r="D43" s="252"/>
      <c r="E43" s="252"/>
      <c r="F43" s="252"/>
      <c r="G43" s="252"/>
      <c r="H43" s="252"/>
      <c r="I43" s="252"/>
      <c r="J43" s="252"/>
      <c r="K43" s="252"/>
    </row>
    <row r="44" spans="4:11">
      <c r="D44" s="252"/>
      <c r="E44" s="252"/>
      <c r="F44" s="252"/>
      <c r="G44" s="252"/>
      <c r="H44" s="252"/>
      <c r="I44" s="252"/>
      <c r="J44" s="252"/>
      <c r="K44" s="252"/>
    </row>
    <row r="45" spans="4:11">
      <c r="D45" s="252"/>
      <c r="E45" s="252"/>
      <c r="F45" s="252"/>
      <c r="G45" s="252"/>
      <c r="H45" s="252"/>
      <c r="I45" s="252"/>
      <c r="J45" s="252"/>
      <c r="K45" s="252"/>
    </row>
    <row r="46" spans="4:11">
      <c r="D46" s="252"/>
      <c r="E46" s="252"/>
      <c r="F46" s="252"/>
      <c r="G46" s="252"/>
      <c r="H46" s="252"/>
      <c r="I46" s="252"/>
      <c r="J46" s="252"/>
      <c r="K46" s="252"/>
    </row>
    <row r="47" spans="4:11">
      <c r="D47" s="252"/>
      <c r="E47" s="252"/>
      <c r="F47" s="252"/>
      <c r="G47" s="252"/>
      <c r="H47" s="252"/>
      <c r="I47" s="252"/>
      <c r="J47" s="252"/>
      <c r="K47" s="252"/>
    </row>
    <row r="48" spans="4:11">
      <c r="D48" s="252"/>
      <c r="E48" s="252"/>
      <c r="F48" s="252"/>
      <c r="G48" s="252"/>
      <c r="H48" s="252"/>
      <c r="I48" s="252"/>
      <c r="J48" s="252"/>
      <c r="K48" s="252"/>
    </row>
    <row r="49" spans="4:11">
      <c r="D49" s="252"/>
      <c r="E49" s="252"/>
      <c r="F49" s="252"/>
      <c r="G49" s="252"/>
      <c r="H49" s="252"/>
      <c r="I49" s="252"/>
      <c r="J49" s="252"/>
      <c r="K49" s="252"/>
    </row>
    <row r="50" spans="4:11">
      <c r="D50" s="252"/>
      <c r="E50" s="252"/>
      <c r="F50" s="252"/>
      <c r="G50" s="252"/>
      <c r="H50" s="252"/>
      <c r="I50" s="252"/>
      <c r="J50" s="252"/>
      <c r="K50" s="252"/>
    </row>
    <row r="51" spans="4:11">
      <c r="D51" s="252"/>
      <c r="E51" s="252"/>
      <c r="F51" s="252"/>
      <c r="G51" s="252"/>
      <c r="H51" s="252"/>
      <c r="I51" s="252"/>
      <c r="J51" s="252"/>
      <c r="K51" s="252"/>
    </row>
    <row r="52" spans="4:11">
      <c r="D52" s="252"/>
      <c r="E52" s="252"/>
      <c r="F52" s="252"/>
      <c r="G52" s="252"/>
      <c r="H52" s="252"/>
      <c r="I52" s="252"/>
      <c r="J52" s="252"/>
      <c r="K52" s="252"/>
    </row>
    <row r="54" spans="4:11" ht="76">
      <c r="D54" t="s">
        <v>191</v>
      </c>
      <c r="E54" t="s">
        <v>195</v>
      </c>
      <c r="H54" s="5" t="s">
        <v>196</v>
      </c>
      <c r="K54" t="s">
        <v>197</v>
      </c>
    </row>
    <row r="77" spans="2:3">
      <c r="B77" t="s">
        <v>88</v>
      </c>
      <c r="C77" t="s">
        <v>361</v>
      </c>
    </row>
    <row r="78" spans="2:3">
      <c r="C78" s="1" t="s">
        <v>362</v>
      </c>
    </row>
    <row r="96" spans="2:13">
      <c r="B96" t="s">
        <v>214</v>
      </c>
      <c r="C96" t="s">
        <v>215</v>
      </c>
      <c r="D96" s="9" t="s">
        <v>219</v>
      </c>
      <c r="E96" t="s">
        <v>216</v>
      </c>
      <c r="F96" t="s">
        <v>224</v>
      </c>
      <c r="H96" t="s">
        <v>225</v>
      </c>
      <c r="K96" t="s">
        <v>234</v>
      </c>
      <c r="M96" t="s">
        <v>230</v>
      </c>
    </row>
    <row r="97" spans="3:13">
      <c r="C97" t="s">
        <v>215</v>
      </c>
      <c r="D97" t="s">
        <v>219</v>
      </c>
      <c r="E97" t="s">
        <v>61</v>
      </c>
      <c r="F97" t="s">
        <v>227</v>
      </c>
      <c r="H97" t="s">
        <v>228</v>
      </c>
      <c r="K97" t="s">
        <v>235</v>
      </c>
      <c r="M97" t="s">
        <v>230</v>
      </c>
    </row>
    <row r="98" spans="3:13">
      <c r="C98" t="s">
        <v>223</v>
      </c>
      <c r="D98" t="s">
        <v>229</v>
      </c>
      <c r="E98" t="s">
        <v>218</v>
      </c>
      <c r="F98" t="s">
        <v>220</v>
      </c>
      <c r="G98" t="s">
        <v>221</v>
      </c>
      <c r="H98" t="s">
        <v>226</v>
      </c>
      <c r="I98" s="9" t="s">
        <v>154</v>
      </c>
      <c r="J98" s="9" t="s">
        <v>154</v>
      </c>
      <c r="K98" t="s">
        <v>222</v>
      </c>
      <c r="M98" t="s">
        <v>230</v>
      </c>
    </row>
    <row r="99" spans="3:13">
      <c r="C99" t="s">
        <v>233</v>
      </c>
      <c r="D99" t="s">
        <v>229</v>
      </c>
      <c r="E99" t="s">
        <v>233</v>
      </c>
      <c r="F99" t="s">
        <v>233</v>
      </c>
      <c r="G99" t="s">
        <v>233</v>
      </c>
      <c r="H99" t="s">
        <v>232</v>
      </c>
      <c r="K99" t="s">
        <v>236</v>
      </c>
      <c r="L99" t="s">
        <v>237</v>
      </c>
      <c r="M99" t="s">
        <v>231</v>
      </c>
    </row>
    <row r="100" spans="3:13">
      <c r="M100" t="s">
        <v>417</v>
      </c>
    </row>
    <row r="101" spans="3:13">
      <c r="C101" t="s">
        <v>268</v>
      </c>
      <c r="D101" t="s">
        <v>219</v>
      </c>
      <c r="F101" t="s">
        <v>266</v>
      </c>
      <c r="G101" t="s">
        <v>270</v>
      </c>
      <c r="H101" t="s">
        <v>269</v>
      </c>
      <c r="K101" t="s">
        <v>269</v>
      </c>
      <c r="M101" t="s">
        <v>418</v>
      </c>
    </row>
    <row r="102" spans="3:13">
      <c r="C102" s="195" t="s">
        <v>486</v>
      </c>
      <c r="D102" s="199" t="s">
        <v>219</v>
      </c>
      <c r="E102" s="195" t="s">
        <v>487</v>
      </c>
      <c r="F102" s="195" t="s">
        <v>149</v>
      </c>
      <c r="G102" s="195" t="s">
        <v>488</v>
      </c>
      <c r="H102" s="195" t="s">
        <v>485</v>
      </c>
      <c r="I102" s="195"/>
      <c r="J102" s="195"/>
      <c r="K102" s="195" t="s">
        <v>238</v>
      </c>
      <c r="L102" s="195"/>
      <c r="M102" s="195" t="s">
        <v>418</v>
      </c>
    </row>
    <row r="103" spans="3:13">
      <c r="C103" s="7" t="s">
        <v>267</v>
      </c>
      <c r="D103" s="7" t="s">
        <v>219</v>
      </c>
      <c r="E103" s="7"/>
      <c r="F103" s="7" t="s">
        <v>266</v>
      </c>
      <c r="G103" s="7"/>
      <c r="H103" s="7" t="s">
        <v>265</v>
      </c>
      <c r="I103" s="7"/>
      <c r="J103" s="7"/>
      <c r="K103" s="7" t="s">
        <v>265</v>
      </c>
      <c r="L103" s="7" t="s">
        <v>416</v>
      </c>
      <c r="M103" s="7" t="s">
        <v>419</v>
      </c>
    </row>
  </sheetData>
  <mergeCells count="1">
    <mergeCell ref="D28:K52"/>
  </mergeCells>
  <phoneticPr fontId="3" type="noConversion"/>
  <hyperlinks>
    <hyperlink ref="C78" r:id="rId1" xr:uid="{17DFD733-D532-6B46-8BE5-E2849D3E65E1}"/>
  </hyperlinks>
  <pageMargins left="0.7" right="0.7" top="0.75" bottom="0.75" header="0.3" footer="0.3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BE53B3-F539-F24F-B1B5-C58FE9387F98}">
  <dimension ref="B5:D11"/>
  <sheetViews>
    <sheetView topLeftCell="A3" workbookViewId="0">
      <selection activeCell="D26" sqref="D26"/>
    </sheetView>
  </sheetViews>
  <sheetFormatPr baseColWidth="10" defaultRowHeight="18"/>
  <cols>
    <col min="4" max="4" width="51.42578125" bestFit="1" customWidth="1"/>
  </cols>
  <sheetData>
    <row r="5" spans="2:4">
      <c r="B5" t="s">
        <v>282</v>
      </c>
      <c r="C5" t="s">
        <v>198</v>
      </c>
      <c r="D5" s="193" t="s">
        <v>199</v>
      </c>
    </row>
    <row r="6" spans="2:4">
      <c r="B6" t="s">
        <v>271</v>
      </c>
      <c r="C6" t="s">
        <v>201</v>
      </c>
      <c r="D6" s="1" t="s">
        <v>200</v>
      </c>
    </row>
    <row r="7" spans="2:4">
      <c r="C7" t="s">
        <v>273</v>
      </c>
      <c r="D7" s="1" t="s">
        <v>202</v>
      </c>
    </row>
    <row r="8" spans="2:4">
      <c r="B8" t="s">
        <v>281</v>
      </c>
      <c r="C8" t="s">
        <v>201</v>
      </c>
      <c r="D8" s="1" t="s">
        <v>283</v>
      </c>
    </row>
    <row r="9" spans="2:4">
      <c r="C9" t="s">
        <v>273</v>
      </c>
      <c r="D9" s="1" t="s">
        <v>280</v>
      </c>
    </row>
    <row r="10" spans="2:4">
      <c r="B10" t="s">
        <v>259</v>
      </c>
      <c r="C10" t="s">
        <v>273</v>
      </c>
      <c r="D10" s="11" t="s">
        <v>203</v>
      </c>
    </row>
    <row r="11" spans="2:4">
      <c r="B11" t="s">
        <v>272</v>
      </c>
      <c r="C11" t="s">
        <v>273</v>
      </c>
      <c r="D11" s="1" t="s">
        <v>60</v>
      </c>
    </row>
  </sheetData>
  <phoneticPr fontId="3" type="noConversion"/>
  <hyperlinks>
    <hyperlink ref="D6" r:id="rId1" xr:uid="{A7F743B5-4109-BF4B-BC3F-D15E3A05CE2E}"/>
    <hyperlink ref="D7" r:id="rId2" xr:uid="{BE17606B-5814-0D42-991A-79BAF8B696C6}"/>
    <hyperlink ref="D10" r:id="rId3" xr:uid="{3074A1D4-B643-5444-8F47-C2F55D9DF5C8}"/>
    <hyperlink ref="D11" r:id="rId4" xr:uid="{ECF4098A-9F15-D240-BB24-99C896EB7271}"/>
    <hyperlink ref="D9" r:id="rId5" xr:uid="{275323C3-A431-5340-BEB4-4F90696829C7}"/>
    <hyperlink ref="D8" r:id="rId6" xr:uid="{95D4902F-46BB-B342-A891-B5183CBDC442}"/>
    <hyperlink ref="D5" r:id="rId7" xr:uid="{D24744DB-5F7F-0144-BBBE-D49193B9E497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F2B3EB-AA43-BF43-8563-1681FE718849}">
  <dimension ref="B7:G9"/>
  <sheetViews>
    <sheetView workbookViewId="0">
      <selection activeCell="D27" sqref="D27"/>
    </sheetView>
  </sheetViews>
  <sheetFormatPr baseColWidth="10" defaultRowHeight="18"/>
  <cols>
    <col min="2" max="2" width="19.5703125" customWidth="1"/>
    <col min="3" max="3" width="28.140625" bestFit="1" customWidth="1"/>
    <col min="4" max="4" width="25.42578125" bestFit="1" customWidth="1"/>
  </cols>
  <sheetData>
    <row r="7" spans="2:7" s="2" customFormat="1">
      <c r="B7" s="13" t="s">
        <v>207</v>
      </c>
      <c r="C7" s="13" t="s">
        <v>1</v>
      </c>
      <c r="D7" s="13" t="s">
        <v>206</v>
      </c>
      <c r="E7" s="13" t="s">
        <v>211</v>
      </c>
      <c r="F7" s="13"/>
      <c r="G7" s="13"/>
    </row>
    <row r="8" spans="2:7">
      <c r="B8" t="s">
        <v>208</v>
      </c>
      <c r="C8" s="1" t="s">
        <v>209</v>
      </c>
      <c r="D8" s="1" t="s">
        <v>210</v>
      </c>
      <c r="E8" s="12">
        <v>45756</v>
      </c>
    </row>
    <row r="9" spans="2:7">
      <c r="B9" t="s">
        <v>212</v>
      </c>
    </row>
  </sheetData>
  <phoneticPr fontId="3" type="noConversion"/>
  <hyperlinks>
    <hyperlink ref="C8" r:id="rId1" xr:uid="{E9967B57-E410-5549-BF54-A532AC358B8A}"/>
    <hyperlink ref="D8" r:id="rId2" xr:uid="{E5BF9498-0C1E-2645-8F37-14EA94F60015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63A663-45CB-F44A-ACD0-BF0B7B751F1E}">
  <dimension ref="A1:M14"/>
  <sheetViews>
    <sheetView workbookViewId="0">
      <selection activeCell="J28" sqref="J28"/>
    </sheetView>
  </sheetViews>
  <sheetFormatPr baseColWidth="10" defaultRowHeight="18"/>
  <cols>
    <col min="1" max="1" width="10.85546875" bestFit="1" customWidth="1"/>
    <col min="2" max="2" width="14.28515625" bestFit="1" customWidth="1"/>
    <col min="3" max="3" width="21.7109375" bestFit="1" customWidth="1"/>
    <col min="4" max="5" width="8.28515625" bestFit="1" customWidth="1"/>
    <col min="6" max="6" width="10.7109375" bestFit="1" customWidth="1"/>
    <col min="7" max="7" width="18.42578125" bestFit="1" customWidth="1"/>
    <col min="8" max="8" width="10.85546875" bestFit="1" customWidth="1"/>
    <col min="9" max="9" width="6.28515625" bestFit="1" customWidth="1"/>
    <col min="10" max="10" width="14.140625" bestFit="1" customWidth="1"/>
    <col min="11" max="11" width="9.7109375" bestFit="1" customWidth="1"/>
    <col min="12" max="12" width="27.42578125" bestFit="1" customWidth="1"/>
    <col min="13" max="13" width="17.7109375" customWidth="1"/>
  </cols>
  <sheetData>
    <row r="1" spans="1:13" s="2" customFormat="1" ht="36" customHeight="1">
      <c r="A1" s="13" t="s">
        <v>239</v>
      </c>
      <c r="B1" s="13" t="s">
        <v>240</v>
      </c>
      <c r="C1" s="13" t="s">
        <v>410</v>
      </c>
      <c r="D1" s="13" t="s">
        <v>241</v>
      </c>
      <c r="E1" s="13" t="s">
        <v>242</v>
      </c>
      <c r="F1" s="13" t="s">
        <v>243</v>
      </c>
      <c r="G1" s="13" t="s">
        <v>409</v>
      </c>
      <c r="H1" s="13" t="s">
        <v>244</v>
      </c>
      <c r="I1" s="13" t="s">
        <v>245</v>
      </c>
      <c r="J1" s="13" t="s">
        <v>246</v>
      </c>
      <c r="K1" s="13" t="s">
        <v>247</v>
      </c>
      <c r="L1" s="13" t="s">
        <v>248</v>
      </c>
      <c r="M1" s="13" t="s">
        <v>360</v>
      </c>
    </row>
    <row r="2" spans="1:13" ht="36" customHeight="1">
      <c r="A2" s="27" t="s">
        <v>249</v>
      </c>
      <c r="B2" s="28">
        <v>3107.3749720000001</v>
      </c>
      <c r="C2" s="28">
        <v>911.58636309999997</v>
      </c>
      <c r="D2" s="28">
        <v>471.17060700000002</v>
      </c>
      <c r="E2" s="28">
        <v>470.87</v>
      </c>
      <c r="F2" s="28">
        <v>189.46211529999999</v>
      </c>
      <c r="G2" s="28">
        <v>13.46872722</v>
      </c>
      <c r="H2" s="28">
        <v>12.0456868</v>
      </c>
      <c r="I2" s="28">
        <v>2.1211338849999999</v>
      </c>
      <c r="J2" s="28">
        <v>1.2922449199999999</v>
      </c>
      <c r="K2" s="28">
        <v>5179.39185</v>
      </c>
      <c r="L2" s="28">
        <f>SUBTOTAL(9,L3:L14)</f>
        <v>7694200.0800000001</v>
      </c>
      <c r="M2" s="155"/>
    </row>
    <row r="3" spans="1:13" ht="36" customHeight="1">
      <c r="A3" s="12">
        <v>45383</v>
      </c>
      <c r="B3" s="15">
        <v>227.98079999999999</v>
      </c>
      <c r="C3" s="15">
        <v>68.864593859999999</v>
      </c>
      <c r="D3" s="15">
        <v>36.530508349999998</v>
      </c>
      <c r="E3" s="15">
        <v>34.979999999999997</v>
      </c>
      <c r="F3" s="15">
        <v>14.13608982</v>
      </c>
      <c r="G3" s="15">
        <v>1.03182372</v>
      </c>
      <c r="H3" s="15">
        <v>1.0020104000000001</v>
      </c>
      <c r="I3" s="15">
        <v>0.17677778599999999</v>
      </c>
      <c r="J3" s="15">
        <v>0.107863731</v>
      </c>
      <c r="K3" s="15">
        <v>384.8104677</v>
      </c>
      <c r="L3" s="15">
        <v>571601.88</v>
      </c>
      <c r="M3" s="253">
        <f>AVERAGE(L3:L14)</f>
        <v>641183.34</v>
      </c>
    </row>
    <row r="4" spans="1:13" ht="36" customHeight="1">
      <c r="A4" s="12">
        <v>45413</v>
      </c>
      <c r="B4" s="15">
        <v>235.69919999999999</v>
      </c>
      <c r="C4" s="15">
        <v>71.233445180000004</v>
      </c>
      <c r="D4" s="15">
        <v>37.230411109999999</v>
      </c>
      <c r="E4" s="15">
        <v>36.06</v>
      </c>
      <c r="F4" s="15">
        <v>14.13609509</v>
      </c>
      <c r="G4" s="15">
        <v>1.0450630990000001</v>
      </c>
      <c r="H4" s="15">
        <v>1.0023148</v>
      </c>
      <c r="I4" s="15">
        <v>0.17682011</v>
      </c>
      <c r="J4" s="15">
        <v>0.105868538</v>
      </c>
      <c r="K4" s="15">
        <v>396.68921790000002</v>
      </c>
      <c r="L4" s="15">
        <v>589298.91</v>
      </c>
      <c r="M4" s="253"/>
    </row>
    <row r="5" spans="1:13" ht="36" customHeight="1">
      <c r="A5" s="12">
        <v>45444</v>
      </c>
      <c r="B5" s="15">
        <v>228.096</v>
      </c>
      <c r="C5" s="15">
        <v>68.857477549999999</v>
      </c>
      <c r="D5" s="15">
        <v>36.032648610000003</v>
      </c>
      <c r="E5" s="15">
        <v>34.94</v>
      </c>
      <c r="F5" s="15">
        <v>14.136098629999999</v>
      </c>
      <c r="G5" s="15">
        <v>1.055688942</v>
      </c>
      <c r="H5" s="15">
        <v>1.0019739999999999</v>
      </c>
      <c r="I5" s="15">
        <v>0.17674086999999999</v>
      </c>
      <c r="J5" s="15">
        <v>0.10252214</v>
      </c>
      <c r="K5" s="15">
        <v>384.39915070000001</v>
      </c>
      <c r="L5" s="15">
        <v>571004.39</v>
      </c>
      <c r="M5" s="253"/>
    </row>
    <row r="6" spans="1:13" ht="36" customHeight="1">
      <c r="A6" s="12">
        <v>45474</v>
      </c>
      <c r="B6" s="15">
        <v>235.69919999999999</v>
      </c>
      <c r="C6" s="15">
        <v>71.195446180000005</v>
      </c>
      <c r="D6" s="15">
        <v>37.230493070000001</v>
      </c>
      <c r="E6" s="15">
        <v>36.049999999999997</v>
      </c>
      <c r="F6" s="15">
        <v>14.13609681</v>
      </c>
      <c r="G6" s="15">
        <v>1.082998506</v>
      </c>
      <c r="H6" s="15">
        <v>1.0021648000000001</v>
      </c>
      <c r="I6" s="15">
        <v>0.17678353399999999</v>
      </c>
      <c r="J6" s="15">
        <v>0.102397742</v>
      </c>
      <c r="K6" s="15">
        <v>396.67558059999999</v>
      </c>
      <c r="L6" s="15">
        <v>589267.68000000005</v>
      </c>
      <c r="M6" s="253"/>
    </row>
    <row r="7" spans="1:13" ht="36" customHeight="1">
      <c r="A7" s="12">
        <v>45505</v>
      </c>
      <c r="B7" s="15">
        <v>235.584</v>
      </c>
      <c r="C7" s="15">
        <v>71.208016630000003</v>
      </c>
      <c r="D7" s="15">
        <v>37.245699989999999</v>
      </c>
      <c r="E7" s="15">
        <v>36.06</v>
      </c>
      <c r="F7" s="15">
        <v>14.13609578</v>
      </c>
      <c r="G7" s="15">
        <v>1.1073002009999999</v>
      </c>
      <c r="H7" s="15">
        <v>1.0024843999999999</v>
      </c>
      <c r="I7" s="15">
        <v>0.17678527999999999</v>
      </c>
      <c r="J7" s="15">
        <v>9.9815881999999995E-2</v>
      </c>
      <c r="K7" s="15">
        <v>396.6201982</v>
      </c>
      <c r="L7" s="15">
        <v>589187.31000000006</v>
      </c>
      <c r="M7" s="253"/>
    </row>
    <row r="8" spans="1:13" ht="36" customHeight="1">
      <c r="A8" s="12">
        <v>45536</v>
      </c>
      <c r="B8" s="15">
        <v>228.096</v>
      </c>
      <c r="C8" s="15">
        <v>68.849276990000007</v>
      </c>
      <c r="D8" s="15">
        <v>36.033851390000002</v>
      </c>
      <c r="E8" s="15">
        <v>34.94</v>
      </c>
      <c r="F8" s="15">
        <v>14.136093369999999</v>
      </c>
      <c r="G8" s="15">
        <v>1.1282703869999999</v>
      </c>
      <c r="H8" s="15">
        <v>1.0021815999999999</v>
      </c>
      <c r="I8" s="15">
        <v>0.17666989</v>
      </c>
      <c r="J8" s="15">
        <v>9.9512730999999993E-2</v>
      </c>
      <c r="K8" s="15">
        <v>384.46185639999999</v>
      </c>
      <c r="L8" s="15">
        <v>571097.66</v>
      </c>
      <c r="M8" s="253"/>
    </row>
    <row r="9" spans="1:13" ht="36" customHeight="1">
      <c r="A9" s="12">
        <v>45566</v>
      </c>
      <c r="B9" s="15">
        <v>235.5264</v>
      </c>
      <c r="C9" s="15">
        <v>71.18066675</v>
      </c>
      <c r="D9" s="15">
        <v>37.248823610000002</v>
      </c>
      <c r="E9" s="15">
        <v>36.06</v>
      </c>
      <c r="F9" s="15">
        <v>14.136095490000001</v>
      </c>
      <c r="G9" s="15">
        <v>1.136375814</v>
      </c>
      <c r="H9" s="15">
        <v>1.0020312</v>
      </c>
      <c r="I9" s="15">
        <v>0.17678877200000001</v>
      </c>
      <c r="J9" s="15">
        <v>9.5677687999999997E-2</v>
      </c>
      <c r="K9" s="15">
        <v>396.56285930000001</v>
      </c>
      <c r="L9" s="15">
        <v>589102.68000000005</v>
      </c>
      <c r="M9" s="253"/>
    </row>
    <row r="10" spans="1:13" ht="36" customHeight="1">
      <c r="A10" s="12">
        <v>45597</v>
      </c>
      <c r="B10" s="15">
        <v>260.23501340000001</v>
      </c>
      <c r="C10" s="15">
        <v>74.321847969999993</v>
      </c>
      <c r="D10" s="15">
        <v>38.769491680000002</v>
      </c>
      <c r="E10" s="15">
        <v>39.159999999999997</v>
      </c>
      <c r="F10" s="15">
        <v>15.72526695</v>
      </c>
      <c r="G10" s="15">
        <v>1.1468472599999999</v>
      </c>
      <c r="H10" s="15">
        <v>1.0021884000000001</v>
      </c>
      <c r="I10" s="15">
        <v>0.17675507200000001</v>
      </c>
      <c r="J10" s="15">
        <v>0.10638173099999999</v>
      </c>
      <c r="K10" s="15">
        <v>430.6437924</v>
      </c>
      <c r="L10" s="15">
        <v>639777.75</v>
      </c>
      <c r="M10" s="253"/>
    </row>
    <row r="11" spans="1:13" ht="36" customHeight="1">
      <c r="A11" s="12">
        <v>45627</v>
      </c>
      <c r="B11" s="15">
        <v>312.85601489999999</v>
      </c>
      <c r="C11" s="15">
        <v>88.676949309999998</v>
      </c>
      <c r="D11" s="15">
        <v>44.642151390000002</v>
      </c>
      <c r="E11" s="15">
        <v>46.74</v>
      </c>
      <c r="F11" s="15">
        <v>18.696046490000001</v>
      </c>
      <c r="G11" s="15">
        <v>1.158714161</v>
      </c>
      <c r="H11" s="15">
        <v>1.0020260000000001</v>
      </c>
      <c r="I11" s="15">
        <v>0.17675688000000001</v>
      </c>
      <c r="J11" s="15">
        <v>0.12033677399999999</v>
      </c>
      <c r="K11" s="15">
        <v>514.0689959</v>
      </c>
      <c r="L11" s="15">
        <v>763695.3</v>
      </c>
      <c r="M11" s="253"/>
    </row>
    <row r="12" spans="1:13" ht="36" customHeight="1">
      <c r="A12" s="84">
        <v>45658</v>
      </c>
      <c r="B12" s="85">
        <v>312.76319999999998</v>
      </c>
      <c r="C12" s="85">
        <v>88.140518709999995</v>
      </c>
      <c r="D12" s="85">
        <v>44.672820850000001</v>
      </c>
      <c r="E12" s="85">
        <v>46.68</v>
      </c>
      <c r="F12" s="85">
        <v>18.696047610000001</v>
      </c>
      <c r="G12" s="85">
        <v>1.1742056160000001</v>
      </c>
      <c r="H12" s="85">
        <v>1.0021404</v>
      </c>
      <c r="I12" s="85">
        <v>0.17678146</v>
      </c>
      <c r="J12" s="85">
        <v>0.116630127</v>
      </c>
      <c r="K12" s="85">
        <v>513.42234480000002</v>
      </c>
      <c r="L12" s="85">
        <v>762735.98</v>
      </c>
      <c r="M12" s="253"/>
    </row>
    <row r="13" spans="1:13" ht="36" customHeight="1">
      <c r="A13" s="84">
        <v>45689</v>
      </c>
      <c r="B13" s="85">
        <v>282.56959999999998</v>
      </c>
      <c r="C13" s="85">
        <v>80.426851990000003</v>
      </c>
      <c r="D13" s="85">
        <v>40.37972499</v>
      </c>
      <c r="E13" s="85">
        <v>42.46</v>
      </c>
      <c r="F13" s="85">
        <v>18.69604386</v>
      </c>
      <c r="G13" s="85">
        <v>1.1899144319999999</v>
      </c>
      <c r="H13" s="85">
        <v>1.0217392000000001</v>
      </c>
      <c r="I13" s="85">
        <v>0.17672032300000001</v>
      </c>
      <c r="J13" s="85">
        <v>0.116458353</v>
      </c>
      <c r="K13" s="85">
        <v>467.03705309999998</v>
      </c>
      <c r="L13" s="85">
        <v>693834.69</v>
      </c>
      <c r="M13" s="253"/>
    </row>
    <row r="14" spans="1:13" ht="36" customHeight="1">
      <c r="A14" s="84">
        <v>45717</v>
      </c>
      <c r="B14" s="85">
        <v>312.269544</v>
      </c>
      <c r="C14" s="85">
        <v>88.631271949999999</v>
      </c>
      <c r="D14" s="85">
        <v>45.153981950000002</v>
      </c>
      <c r="E14" s="85">
        <v>46.74</v>
      </c>
      <c r="F14" s="85">
        <v>18.69604541</v>
      </c>
      <c r="G14" s="85">
        <v>1.211525086</v>
      </c>
      <c r="H14" s="85">
        <v>1.0024316</v>
      </c>
      <c r="I14" s="85">
        <v>0.17675390999999999</v>
      </c>
      <c r="J14" s="85">
        <v>0.118779484</v>
      </c>
      <c r="K14" s="85">
        <v>514.00033340000005</v>
      </c>
      <c r="L14" s="85">
        <v>763595.85</v>
      </c>
      <c r="M14" s="253"/>
    </row>
  </sheetData>
  <mergeCells count="1">
    <mergeCell ref="M3:M14"/>
  </mergeCells>
  <phoneticPr fontId="3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9CEE38-3ABF-324D-9B74-CFDD43E307B5}">
  <dimension ref="A1:D19"/>
  <sheetViews>
    <sheetView workbookViewId="0">
      <selection activeCell="D30" sqref="D30"/>
    </sheetView>
  </sheetViews>
  <sheetFormatPr baseColWidth="10" defaultRowHeight="18"/>
  <cols>
    <col min="1" max="4" width="24.140625" customWidth="1"/>
  </cols>
  <sheetData>
    <row r="1" spans="1:4">
      <c r="A1" s="254" t="s">
        <v>365</v>
      </c>
      <c r="B1" s="254"/>
      <c r="C1" s="254"/>
    </row>
    <row r="2" spans="1:4">
      <c r="A2" s="254"/>
      <c r="B2" s="254"/>
      <c r="C2" s="254"/>
    </row>
    <row r="3" spans="1:4">
      <c r="C3" s="99" t="s">
        <v>366</v>
      </c>
    </row>
    <row r="4" spans="1:4">
      <c r="A4" s="86"/>
      <c r="B4" s="98" t="s">
        <v>247</v>
      </c>
      <c r="C4" s="98" t="s">
        <v>364</v>
      </c>
      <c r="D4">
        <f>1485.53</f>
        <v>1485.53</v>
      </c>
    </row>
    <row r="5" spans="1:4">
      <c r="A5" s="98" t="s">
        <v>363</v>
      </c>
      <c r="B5" s="87">
        <v>936.46193707049997</v>
      </c>
      <c r="C5" s="88">
        <f>$D$4*B5</f>
        <v>1391142.3013763397</v>
      </c>
    </row>
    <row r="6" spans="1:4">
      <c r="A6" s="89">
        <v>45383</v>
      </c>
      <c r="B6" s="90">
        <v>68.864593857200006</v>
      </c>
      <c r="C6" s="91">
        <f t="shared" ref="C6:C18" si="0">$D$4*B6</f>
        <v>102300.42011268632</v>
      </c>
      <c r="D6" s="18"/>
    </row>
    <row r="7" spans="1:4">
      <c r="A7" s="92">
        <v>45413</v>
      </c>
      <c r="B7" s="93">
        <v>71.233445177799993</v>
      </c>
      <c r="C7" s="94">
        <f t="shared" si="0"/>
        <v>105819.41981497723</v>
      </c>
    </row>
    <row r="8" spans="1:4">
      <c r="A8" s="92">
        <v>45444</v>
      </c>
      <c r="B8" s="93">
        <v>68.857477553600006</v>
      </c>
      <c r="C8" s="94">
        <f t="shared" si="0"/>
        <v>102289.84863019941</v>
      </c>
    </row>
    <row r="9" spans="1:4">
      <c r="A9" s="92">
        <v>45474</v>
      </c>
      <c r="B9" s="93">
        <v>71.195446177299999</v>
      </c>
      <c r="C9" s="94">
        <f t="shared" si="0"/>
        <v>105762.97115976446</v>
      </c>
    </row>
    <row r="10" spans="1:4">
      <c r="A10" s="92">
        <v>45505</v>
      </c>
      <c r="B10" s="93">
        <v>71.208016631999996</v>
      </c>
      <c r="C10" s="94">
        <f t="shared" si="0"/>
        <v>105781.64494733495</v>
      </c>
    </row>
    <row r="11" spans="1:4">
      <c r="A11" s="92">
        <v>45536</v>
      </c>
      <c r="B11" s="93">
        <v>68.849276989900005</v>
      </c>
      <c r="C11" s="94">
        <f t="shared" si="0"/>
        <v>102277.66644680615</v>
      </c>
    </row>
    <row r="12" spans="1:4">
      <c r="A12" s="92">
        <v>45566</v>
      </c>
      <c r="B12" s="93">
        <v>71.180666754200004</v>
      </c>
      <c r="C12" s="94">
        <f t="shared" si="0"/>
        <v>105741.01588336674</v>
      </c>
    </row>
    <row r="13" spans="1:4">
      <c r="A13" s="92">
        <v>45597</v>
      </c>
      <c r="B13" s="93">
        <v>74.321847972699999</v>
      </c>
      <c r="C13" s="94">
        <f t="shared" si="0"/>
        <v>110407.33481888502</v>
      </c>
    </row>
    <row r="14" spans="1:4">
      <c r="A14" s="92">
        <v>45627</v>
      </c>
      <c r="B14" s="93">
        <v>88.676949311200005</v>
      </c>
      <c r="C14" s="94">
        <f t="shared" si="0"/>
        <v>131732.26851026693</v>
      </c>
    </row>
    <row r="15" spans="1:4">
      <c r="A15" s="92">
        <v>45658</v>
      </c>
      <c r="B15" s="93">
        <v>88.140518705100007</v>
      </c>
      <c r="C15" s="94">
        <f t="shared" si="0"/>
        <v>130935.38475198721</v>
      </c>
    </row>
    <row r="16" spans="1:4">
      <c r="A16" s="92">
        <v>45689</v>
      </c>
      <c r="B16" s="93">
        <v>80.426851988099997</v>
      </c>
      <c r="C16" s="94">
        <f t="shared" si="0"/>
        <v>119476.50143388219</v>
      </c>
    </row>
    <row r="17" spans="1:3">
      <c r="A17" s="92">
        <v>45717</v>
      </c>
      <c r="B17" s="93">
        <v>88.631271950599995</v>
      </c>
      <c r="C17" s="94">
        <f t="shared" si="0"/>
        <v>131664.4134207748</v>
      </c>
    </row>
    <row r="18" spans="1:3">
      <c r="A18" s="95">
        <v>45748</v>
      </c>
      <c r="B18" s="96">
        <v>24.8755740008</v>
      </c>
      <c r="C18" s="97">
        <f t="shared" si="0"/>
        <v>36953.411445408427</v>
      </c>
    </row>
    <row r="19" spans="1:3">
      <c r="B19" s="100">
        <f>SUM(B6:B18)</f>
        <v>936.46193707050008</v>
      </c>
      <c r="C19" s="100">
        <f>SUM(C6:C18)</f>
        <v>1391142.3013763395</v>
      </c>
    </row>
  </sheetData>
  <mergeCells count="1">
    <mergeCell ref="A1:C2"/>
  </mergeCells>
  <phoneticPr fontId="3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7A1726-A92E-A94B-8736-E948065A9692}">
  <dimension ref="A2:O25"/>
  <sheetViews>
    <sheetView showGridLines="0" topLeftCell="A6" workbookViewId="0">
      <selection activeCell="I6" sqref="I6"/>
    </sheetView>
  </sheetViews>
  <sheetFormatPr baseColWidth="10" defaultRowHeight="18"/>
  <cols>
    <col min="1" max="1" width="17.5703125" customWidth="1"/>
    <col min="2" max="2" width="13.7109375" bestFit="1" customWidth="1"/>
    <col min="3" max="3" width="14.28515625" bestFit="1" customWidth="1"/>
    <col min="4" max="4" width="12.140625" customWidth="1"/>
    <col min="5" max="5" width="15.140625" hidden="1" customWidth="1"/>
    <col min="6" max="6" width="32.42578125" bestFit="1" customWidth="1"/>
    <col min="7" max="7" width="15.140625" bestFit="1" customWidth="1"/>
    <col min="8" max="8" width="15" customWidth="1"/>
    <col min="9" max="9" width="20.42578125" customWidth="1"/>
    <col min="10" max="10" width="20.5703125" customWidth="1"/>
    <col min="11" max="11" width="48.5703125" customWidth="1"/>
  </cols>
  <sheetData>
    <row r="2" spans="1:15">
      <c r="A2" s="255" t="s">
        <v>390</v>
      </c>
      <c r="B2" s="255"/>
      <c r="C2" s="255"/>
      <c r="D2" s="255"/>
      <c r="E2" s="255"/>
      <c r="F2" s="255"/>
      <c r="G2" s="255"/>
      <c r="H2" s="255"/>
      <c r="I2" s="255"/>
      <c r="J2" s="255"/>
    </row>
    <row r="3" spans="1:15">
      <c r="A3" s="255"/>
      <c r="B3" s="255"/>
      <c r="C3" s="255"/>
      <c r="D3" s="255"/>
      <c r="E3" s="255"/>
      <c r="F3" s="255"/>
      <c r="G3" s="255"/>
      <c r="H3" s="255"/>
      <c r="I3" s="255"/>
      <c r="J3" s="255"/>
    </row>
    <row r="4" spans="1:15">
      <c r="A4" s="255"/>
      <c r="B4" s="255"/>
      <c r="C4" s="255"/>
      <c r="D4" s="255"/>
      <c r="E4" s="255"/>
      <c r="F4" s="255"/>
      <c r="G4" s="255"/>
      <c r="H4" s="255"/>
      <c r="I4" s="255"/>
      <c r="J4" s="255"/>
    </row>
    <row r="5" spans="1:15">
      <c r="B5" s="14"/>
    </row>
    <row r="6" spans="1:15" s="16" customFormat="1" ht="49" customHeight="1">
      <c r="A6" s="156" t="s">
        <v>276</v>
      </c>
      <c r="B6" s="156" t="s">
        <v>250</v>
      </c>
      <c r="C6" s="156" t="s">
        <v>251</v>
      </c>
      <c r="D6" s="156" t="s">
        <v>411</v>
      </c>
      <c r="E6" s="156" t="s">
        <v>257</v>
      </c>
      <c r="F6" s="157" t="s">
        <v>396</v>
      </c>
      <c r="G6" s="157" t="s">
        <v>252</v>
      </c>
      <c r="H6" s="157" t="s">
        <v>395</v>
      </c>
      <c r="I6" s="157" t="s">
        <v>315</v>
      </c>
      <c r="J6" s="156" t="s">
        <v>274</v>
      </c>
      <c r="K6" s="16" t="s">
        <v>275</v>
      </c>
    </row>
    <row r="7" spans="1:15" s="16" customFormat="1" ht="23">
      <c r="A7" s="258" t="s">
        <v>39</v>
      </c>
      <c r="B7" s="259">
        <v>1500000</v>
      </c>
      <c r="C7" s="260">
        <f>AVERAGE(Kakao_AWS_Cost_Instancess!L12:L14)</f>
        <v>740055.50666666671</v>
      </c>
      <c r="D7" s="261">
        <f>B7-C7</f>
        <v>759944.49333333329</v>
      </c>
      <c r="E7" s="264">
        <f>(B7-C7)*12</f>
        <v>9119333.9199999999</v>
      </c>
      <c r="F7" s="158" t="s">
        <v>253</v>
      </c>
      <c r="G7" s="159">
        <f>'개발자 노임단가'!C13</f>
        <v>9145473</v>
      </c>
      <c r="H7" s="158">
        <v>0.1</v>
      </c>
      <c r="I7" s="160">
        <f t="shared" ref="I7:I11" si="0">G7*H7</f>
        <v>914547.3</v>
      </c>
      <c r="J7" s="257">
        <f>(D7-I12)*12</f>
        <v>-50847234.079999998</v>
      </c>
      <c r="K7" s="16" t="s">
        <v>370</v>
      </c>
    </row>
    <row r="8" spans="1:15" s="16" customFormat="1" ht="23">
      <c r="A8" s="258"/>
      <c r="B8" s="259"/>
      <c r="C8" s="260"/>
      <c r="D8" s="262"/>
      <c r="E8" s="265"/>
      <c r="F8" s="161" t="s">
        <v>254</v>
      </c>
      <c r="G8" s="162">
        <f>'개발자 노임단가'!C15</f>
        <v>6727260</v>
      </c>
      <c r="H8" s="161">
        <v>0.2</v>
      </c>
      <c r="I8" s="163">
        <f t="shared" si="0"/>
        <v>1345452</v>
      </c>
      <c r="J8" s="257"/>
      <c r="K8" s="16" t="s">
        <v>368</v>
      </c>
    </row>
    <row r="9" spans="1:15" s="16" customFormat="1" ht="23">
      <c r="A9" s="258"/>
      <c r="B9" s="259"/>
      <c r="C9" s="260"/>
      <c r="D9" s="262"/>
      <c r="E9" s="265"/>
      <c r="F9" s="167" t="s">
        <v>255</v>
      </c>
      <c r="G9" s="168">
        <f>'개발자 노임단가'!C17</f>
        <v>6943457</v>
      </c>
      <c r="H9" s="167">
        <v>0</v>
      </c>
      <c r="I9" s="169">
        <f t="shared" si="0"/>
        <v>0</v>
      </c>
      <c r="J9" s="257"/>
      <c r="K9" s="16" t="s">
        <v>367</v>
      </c>
    </row>
    <row r="10" spans="1:15" s="16" customFormat="1" ht="23">
      <c r="A10" s="258"/>
      <c r="B10" s="259"/>
      <c r="C10" s="260"/>
      <c r="D10" s="262"/>
      <c r="E10" s="265"/>
      <c r="F10" s="161" t="s">
        <v>256</v>
      </c>
      <c r="G10" s="162">
        <f>'개발자 노임단가'!C18</f>
        <v>6099042</v>
      </c>
      <c r="H10" s="161">
        <v>0.2</v>
      </c>
      <c r="I10" s="163">
        <f t="shared" si="0"/>
        <v>1219808.4000000001</v>
      </c>
      <c r="J10" s="257"/>
      <c r="K10" s="16" t="s">
        <v>369</v>
      </c>
    </row>
    <row r="11" spans="1:15" s="16" customFormat="1" ht="23">
      <c r="A11" s="258"/>
      <c r="B11" s="259"/>
      <c r="C11" s="260"/>
      <c r="D11" s="263"/>
      <c r="E11" s="266"/>
      <c r="F11" s="164" t="s">
        <v>394</v>
      </c>
      <c r="G11" s="165">
        <f>'개발자 노임단가'!C20</f>
        <v>5058021</v>
      </c>
      <c r="H11" s="164">
        <v>0.3</v>
      </c>
      <c r="I11" s="166">
        <f t="shared" si="0"/>
        <v>1517406.3</v>
      </c>
      <c r="J11" s="257"/>
    </row>
    <row r="12" spans="1:15" s="16" customFormat="1" ht="23">
      <c r="B12" s="17"/>
      <c r="C12" s="17"/>
      <c r="D12" s="17"/>
      <c r="E12" s="17">
        <f t="shared" ref="E12" si="1">E7</f>
        <v>9119333.9199999999</v>
      </c>
      <c r="I12" s="125">
        <f>SUM(I7:I11)</f>
        <v>4997214</v>
      </c>
      <c r="O12" s="16">
        <f>150*12+500</f>
        <v>2300</v>
      </c>
    </row>
    <row r="13" spans="1:15">
      <c r="O13" s="19">
        <f>O12/12</f>
        <v>191.66666666666666</v>
      </c>
    </row>
    <row r="14" spans="1:15">
      <c r="E14" s="18"/>
    </row>
    <row r="15" spans="1:15">
      <c r="C15" t="s">
        <v>398</v>
      </c>
      <c r="D15">
        <v>1</v>
      </c>
    </row>
    <row r="16" spans="1:15">
      <c r="C16" t="s">
        <v>399</v>
      </c>
      <c r="D16">
        <v>2</v>
      </c>
    </row>
    <row r="17" spans="2:11">
      <c r="C17" t="s">
        <v>400</v>
      </c>
      <c r="D17">
        <v>1</v>
      </c>
      <c r="I17" t="s">
        <v>392</v>
      </c>
      <c r="J17" s="9" t="s">
        <v>405</v>
      </c>
    </row>
    <row r="18" spans="2:11" ht="27">
      <c r="C18" t="s">
        <v>401</v>
      </c>
      <c r="D18">
        <v>1</v>
      </c>
      <c r="J18" s="126">
        <f>ROUNDDOWN((I12 + C12 ), -3)</f>
        <v>4997000</v>
      </c>
      <c r="K18" t="s">
        <v>393</v>
      </c>
    </row>
    <row r="19" spans="2:11">
      <c r="K19" s="127">
        <f>J18*12</f>
        <v>59964000</v>
      </c>
    </row>
    <row r="20" spans="2:11">
      <c r="J20" t="s">
        <v>391</v>
      </c>
    </row>
    <row r="22" spans="2:11">
      <c r="H22">
        <f>22*0.3</f>
        <v>6.6</v>
      </c>
    </row>
    <row r="25" spans="2:11" ht="23">
      <c r="B25" s="256" t="s">
        <v>397</v>
      </c>
      <c r="C25" s="256"/>
      <c r="D25" s="256"/>
      <c r="E25" s="256"/>
      <c r="F25" s="256"/>
      <c r="G25" s="256"/>
      <c r="H25" s="256"/>
      <c r="I25" s="256"/>
      <c r="J25" s="256"/>
      <c r="K25" s="256"/>
    </row>
  </sheetData>
  <mergeCells count="8">
    <mergeCell ref="A2:J4"/>
    <mergeCell ref="B25:K25"/>
    <mergeCell ref="J7:J11"/>
    <mergeCell ref="A7:A11"/>
    <mergeCell ref="B7:B11"/>
    <mergeCell ref="C7:C11"/>
    <mergeCell ref="D7:D11"/>
    <mergeCell ref="E7:E11"/>
  </mergeCells>
  <phoneticPr fontId="3" type="noConversion"/>
  <hyperlinks>
    <hyperlink ref="C7:C11" location="'250409_aws_costs_최근 1년'!A1" display="'250409_aws_costs_최근 1년'!A1" xr:uid="{2CFEB9C8-D92B-CF40-A6D2-299BBDF36A0E}"/>
  </hyperlinks>
  <pageMargins left="0.7" right="0.7" top="0.75" bottom="0.75" header="0.3" footer="0.3"/>
  <ignoredErrors>
    <ignoredError sqref="C7" formulaRange="1"/>
  </ignoredError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E50E87-183B-D944-B4C6-D7D3D7356CFA}">
  <sheetPr>
    <tabColor rgb="FFFF0000"/>
  </sheetPr>
  <dimension ref="A2:N25"/>
  <sheetViews>
    <sheetView showGridLines="0" topLeftCell="A6" workbookViewId="0">
      <selection activeCell="G16" sqref="G16"/>
    </sheetView>
  </sheetViews>
  <sheetFormatPr baseColWidth="10" defaultRowHeight="18"/>
  <cols>
    <col min="1" max="1" width="17.5703125" customWidth="1"/>
    <col min="2" max="2" width="15.140625" bestFit="1" customWidth="1"/>
    <col min="3" max="3" width="17.140625" bestFit="1" customWidth="1"/>
    <col min="4" max="4" width="32.42578125" bestFit="1" customWidth="1"/>
    <col min="5" max="6" width="13.7109375" bestFit="1" customWidth="1"/>
    <col min="7" max="7" width="15.140625" bestFit="1" customWidth="1"/>
    <col min="8" max="8" width="33.140625" bestFit="1" customWidth="1"/>
    <col min="9" max="9" width="20.42578125" customWidth="1"/>
    <col min="10" max="10" width="20.5703125" customWidth="1"/>
    <col min="11" max="11" width="48.5703125" customWidth="1"/>
  </cols>
  <sheetData>
    <row r="2" spans="1:14">
      <c r="A2" s="255" t="s">
        <v>390</v>
      </c>
      <c r="B2" s="255"/>
      <c r="C2" s="255"/>
      <c r="D2" s="255"/>
      <c r="E2" s="255"/>
      <c r="F2" s="255"/>
      <c r="G2" s="255"/>
      <c r="H2" s="255"/>
      <c r="I2" s="255"/>
      <c r="J2" s="255"/>
    </row>
    <row r="3" spans="1:14">
      <c r="A3" s="255"/>
      <c r="B3" s="255"/>
      <c r="C3" s="255"/>
      <c r="D3" s="255"/>
      <c r="E3" s="255"/>
      <c r="F3" s="255"/>
      <c r="G3" s="255"/>
      <c r="H3" s="255"/>
      <c r="I3" s="255"/>
      <c r="J3" s="255"/>
    </row>
    <row r="4" spans="1:14">
      <c r="A4" s="255"/>
      <c r="B4" s="255"/>
      <c r="C4" s="255"/>
      <c r="D4" s="255"/>
      <c r="E4" s="255"/>
      <c r="F4" s="255"/>
      <c r="G4" s="255"/>
      <c r="H4" s="255"/>
      <c r="I4" s="255"/>
      <c r="J4" s="255"/>
    </row>
    <row r="5" spans="1:14">
      <c r="B5" s="14"/>
    </row>
    <row r="6" spans="1:14" s="16" customFormat="1" ht="49" customHeight="1">
      <c r="A6" s="175" t="s">
        <v>250</v>
      </c>
      <c r="B6" s="175" t="s">
        <v>413</v>
      </c>
      <c r="C6" s="156" t="s">
        <v>411</v>
      </c>
      <c r="D6" s="157" t="s">
        <v>396</v>
      </c>
      <c r="E6" s="157" t="s">
        <v>252</v>
      </c>
      <c r="F6" s="157" t="s">
        <v>415</v>
      </c>
      <c r="G6" s="157" t="s">
        <v>412</v>
      </c>
      <c r="H6" s="156" t="s">
        <v>274</v>
      </c>
      <c r="J6" s="171" t="s">
        <v>275</v>
      </c>
    </row>
    <row r="7" spans="1:14" s="16" customFormat="1" ht="23">
      <c r="A7" s="259">
        <v>1500000</v>
      </c>
      <c r="B7" s="260">
        <f>AVERAGE(Kakao_AWS_Cost_Instancess!L12:L14)</f>
        <v>740055.50666666671</v>
      </c>
      <c r="C7" s="261">
        <f>A7-B7</f>
        <v>759944.49333333329</v>
      </c>
      <c r="D7" s="158" t="s">
        <v>253</v>
      </c>
      <c r="E7" s="159">
        <f>'개발자 노임단가'!C13</f>
        <v>9145473</v>
      </c>
      <c r="F7" s="158">
        <v>0.1</v>
      </c>
      <c r="G7" s="160">
        <f t="shared" ref="G7:G11" si="0">E7*F7</f>
        <v>914547.3</v>
      </c>
      <c r="H7" s="257">
        <f>C7*12 - G12</f>
        <v>4122119.92</v>
      </c>
      <c r="J7" s="170" t="s">
        <v>370</v>
      </c>
    </row>
    <row r="8" spans="1:14" s="16" customFormat="1" ht="23">
      <c r="A8" s="259"/>
      <c r="B8" s="260"/>
      <c r="C8" s="262"/>
      <c r="D8" s="161" t="s">
        <v>254</v>
      </c>
      <c r="E8" s="162">
        <f>'개발자 노임단가'!C15</f>
        <v>6727260</v>
      </c>
      <c r="F8" s="161">
        <v>0.2</v>
      </c>
      <c r="G8" s="163">
        <f t="shared" si="0"/>
        <v>1345452</v>
      </c>
      <c r="H8" s="257"/>
      <c r="J8" s="170" t="s">
        <v>368</v>
      </c>
    </row>
    <row r="9" spans="1:14" s="16" customFormat="1" ht="23">
      <c r="A9" s="259"/>
      <c r="B9" s="260"/>
      <c r="C9" s="262"/>
      <c r="D9" s="167" t="s">
        <v>255</v>
      </c>
      <c r="E9" s="168">
        <f>'개발자 노임단가'!C17</f>
        <v>6943457</v>
      </c>
      <c r="F9" s="167">
        <v>0</v>
      </c>
      <c r="G9" s="169">
        <f t="shared" si="0"/>
        <v>0</v>
      </c>
      <c r="H9" s="257"/>
      <c r="J9" s="170" t="s">
        <v>367</v>
      </c>
    </row>
    <row r="10" spans="1:14" s="16" customFormat="1" ht="23">
      <c r="A10" s="259"/>
      <c r="B10" s="260"/>
      <c r="C10" s="262"/>
      <c r="D10" s="161" t="s">
        <v>256</v>
      </c>
      <c r="E10" s="162">
        <f>'개발자 노임단가'!C18</f>
        <v>6099042</v>
      </c>
      <c r="F10" s="161">
        <v>0.2</v>
      </c>
      <c r="G10" s="163">
        <f t="shared" si="0"/>
        <v>1219808.4000000001</v>
      </c>
      <c r="H10" s="257"/>
      <c r="J10" s="170" t="s">
        <v>369</v>
      </c>
    </row>
    <row r="11" spans="1:14" s="16" customFormat="1" ht="23">
      <c r="A11" s="259"/>
      <c r="B11" s="260"/>
      <c r="C11" s="263"/>
      <c r="D11" s="164" t="s">
        <v>394</v>
      </c>
      <c r="E11" s="165">
        <f>'개발자 노임단가'!C20</f>
        <v>5058021</v>
      </c>
      <c r="F11" s="164">
        <v>0.3</v>
      </c>
      <c r="G11" s="166">
        <f t="shared" si="0"/>
        <v>1517406.3</v>
      </c>
      <c r="H11" s="257"/>
    </row>
    <row r="12" spans="1:14" s="16" customFormat="1" ht="23">
      <c r="A12" s="172">
        <f>A7*12</f>
        <v>18000000</v>
      </c>
      <c r="B12" s="173">
        <f>B7*12</f>
        <v>8880666.0800000001</v>
      </c>
      <c r="C12" s="17"/>
      <c r="G12" s="125">
        <f>SUM(G7:G11)</f>
        <v>4997214</v>
      </c>
      <c r="H12" s="174" t="s">
        <v>414</v>
      </c>
    </row>
    <row r="13" spans="1:14">
      <c r="N13" s="19"/>
    </row>
    <row r="14" spans="1:14">
      <c r="D14" s="18"/>
    </row>
    <row r="15" spans="1:14">
      <c r="B15" t="s">
        <v>398</v>
      </c>
      <c r="C15">
        <v>1</v>
      </c>
    </row>
    <row r="16" spans="1:14">
      <c r="B16" t="s">
        <v>399</v>
      </c>
      <c r="C16">
        <v>2</v>
      </c>
    </row>
    <row r="17" spans="1:10">
      <c r="B17" t="s">
        <v>400</v>
      </c>
      <c r="C17">
        <v>1</v>
      </c>
      <c r="I17" s="9"/>
    </row>
    <row r="18" spans="1:10">
      <c r="B18" t="s">
        <v>401</v>
      </c>
      <c r="C18">
        <v>1</v>
      </c>
    </row>
    <row r="19" spans="1:10">
      <c r="I19" s="9"/>
      <c r="J19" s="127"/>
    </row>
    <row r="20" spans="1:10">
      <c r="I20" t="s">
        <v>391</v>
      </c>
    </row>
    <row r="25" spans="1:10" ht="23">
      <c r="A25" s="256" t="s">
        <v>397</v>
      </c>
      <c r="B25" s="256"/>
      <c r="C25" s="256"/>
      <c r="D25" s="256"/>
      <c r="E25" s="256"/>
      <c r="F25" s="256"/>
      <c r="G25" s="256"/>
      <c r="H25" s="256"/>
      <c r="I25" s="256"/>
      <c r="J25" s="256"/>
    </row>
  </sheetData>
  <mergeCells count="6">
    <mergeCell ref="A25:J25"/>
    <mergeCell ref="A2:J4"/>
    <mergeCell ref="A7:A11"/>
    <mergeCell ref="B7:B11"/>
    <mergeCell ref="C7:C11"/>
    <mergeCell ref="H7:H11"/>
  </mergeCells>
  <phoneticPr fontId="3" type="noConversion"/>
  <hyperlinks>
    <hyperlink ref="B7:B11" location="'250409_aws_costs_최근 1년'!A1" display="'250409_aws_costs_최근 1년'!A1" xr:uid="{B99B8EFC-BBBF-DD43-AF9A-9F93A5E587EF}"/>
  </hyperlinks>
  <pageMargins left="0.7" right="0.7" top="0.75" bottom="0.75" header="0.3" footer="0.3"/>
  <ignoredErrors>
    <ignoredError sqref="B7" formulaRange="1"/>
  </ignoredError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B5C51-F5C7-2245-BC98-715688969A15}">
  <dimension ref="A1:J119"/>
  <sheetViews>
    <sheetView workbookViewId="0">
      <selection activeCell="M27" sqref="M27"/>
    </sheetView>
  </sheetViews>
  <sheetFormatPr baseColWidth="10" defaultColWidth="7.5703125" defaultRowHeight="17"/>
  <cols>
    <col min="1" max="1" width="1.42578125" style="29" customWidth="1"/>
    <col min="2" max="2" width="15.42578125" style="29" customWidth="1"/>
    <col min="3" max="5" width="11.28515625" style="29" customWidth="1"/>
    <col min="6" max="6" width="20.85546875" style="29" customWidth="1"/>
    <col min="7" max="8" width="7.5703125" style="29"/>
    <col min="9" max="9" width="9.140625" style="29" bestFit="1" customWidth="1"/>
    <col min="10" max="16384" width="7.5703125" style="29"/>
  </cols>
  <sheetData>
    <row r="1" spans="1:10" ht="12.75" customHeight="1"/>
    <row r="2" spans="1:10" ht="24" customHeight="1">
      <c r="A2" s="30"/>
      <c r="B2" s="268" t="s">
        <v>316</v>
      </c>
      <c r="C2" s="268"/>
      <c r="D2" s="268"/>
      <c r="E2" s="268"/>
      <c r="F2" s="268"/>
      <c r="G2" s="31"/>
      <c r="H2" s="31"/>
      <c r="I2" s="31"/>
      <c r="J2" s="31"/>
    </row>
    <row r="3" spans="1:10" ht="10.5" customHeight="1"/>
    <row r="4" spans="1:10" s="33" customFormat="1" ht="38.25" customHeight="1">
      <c r="A4" s="32"/>
      <c r="B4" s="269" t="s">
        <v>317</v>
      </c>
      <c r="C4" s="269"/>
      <c r="D4" s="269"/>
      <c r="E4" s="269"/>
      <c r="F4" s="269"/>
      <c r="G4" s="32"/>
      <c r="H4" s="32"/>
      <c r="I4" s="32"/>
      <c r="J4" s="32"/>
    </row>
    <row r="5" spans="1:10" s="33" customFormat="1" ht="9.75" customHeight="1"/>
    <row r="6" spans="1:10" s="33" customFormat="1" ht="18.75" customHeight="1">
      <c r="A6" s="34"/>
      <c r="B6" s="270" t="s">
        <v>318</v>
      </c>
      <c r="C6" s="270"/>
      <c r="D6" s="270"/>
      <c r="E6" s="270"/>
      <c r="F6" s="270"/>
      <c r="G6" s="32"/>
      <c r="H6" s="32"/>
      <c r="I6" s="32"/>
      <c r="J6" s="32"/>
    </row>
    <row r="7" spans="1:10" s="33" customFormat="1" ht="15.75" customHeight="1">
      <c r="E7" s="35"/>
      <c r="F7" s="35" t="s">
        <v>319</v>
      </c>
    </row>
    <row r="8" spans="1:10" s="33" customFormat="1" ht="32.25" customHeight="1">
      <c r="B8" s="36" t="s">
        <v>320</v>
      </c>
      <c r="C8" s="37" t="s">
        <v>321</v>
      </c>
      <c r="D8" s="37" t="s">
        <v>322</v>
      </c>
      <c r="E8" s="37" t="s">
        <v>323</v>
      </c>
      <c r="F8" s="38" t="s">
        <v>324</v>
      </c>
    </row>
    <row r="9" spans="1:10" s="33" customFormat="1" ht="28.5" customHeight="1">
      <c r="B9" s="39" t="s">
        <v>325</v>
      </c>
      <c r="C9" s="40">
        <v>11597656</v>
      </c>
      <c r="D9" s="40">
        <v>562993</v>
      </c>
      <c r="E9" s="41">
        <v>70374</v>
      </c>
      <c r="F9" s="42"/>
    </row>
    <row r="10" spans="1:10" s="33" customFormat="1" ht="28.5" customHeight="1">
      <c r="B10" s="43" t="s">
        <v>326</v>
      </c>
      <c r="C10" s="44">
        <v>9706020</v>
      </c>
      <c r="D10" s="44">
        <v>471166</v>
      </c>
      <c r="E10" s="45">
        <v>58896</v>
      </c>
      <c r="F10" s="46" t="s">
        <v>327</v>
      </c>
    </row>
    <row r="11" spans="1:10" s="33" customFormat="1" ht="28.5" customHeight="1">
      <c r="B11" s="43" t="s">
        <v>328</v>
      </c>
      <c r="C11" s="44">
        <v>8997359</v>
      </c>
      <c r="D11" s="44">
        <v>436765</v>
      </c>
      <c r="E11" s="45">
        <v>54596</v>
      </c>
      <c r="F11" s="46"/>
    </row>
    <row r="12" spans="1:10" s="33" customFormat="1" ht="28.5" customHeight="1">
      <c r="B12" s="43" t="s">
        <v>329</v>
      </c>
      <c r="C12" s="44">
        <v>7751183</v>
      </c>
      <c r="D12" s="44">
        <v>376271</v>
      </c>
      <c r="E12" s="45">
        <v>47034</v>
      </c>
      <c r="F12" s="46"/>
    </row>
    <row r="13" spans="1:10" s="33" customFormat="1" ht="28.5" customHeight="1">
      <c r="B13" s="43" t="s">
        <v>330</v>
      </c>
      <c r="C13" s="44">
        <v>9145473</v>
      </c>
      <c r="D13" s="44">
        <v>443955</v>
      </c>
      <c r="E13" s="45">
        <v>55494</v>
      </c>
      <c r="F13" s="46"/>
    </row>
    <row r="14" spans="1:10" s="33" customFormat="1" ht="34.5" customHeight="1">
      <c r="B14" s="43" t="s">
        <v>331</v>
      </c>
      <c r="C14" s="44">
        <v>10147745</v>
      </c>
      <c r="D14" s="44">
        <v>492609</v>
      </c>
      <c r="E14" s="45">
        <v>61576</v>
      </c>
      <c r="F14" s="46" t="s">
        <v>332</v>
      </c>
    </row>
    <row r="15" spans="1:10" s="33" customFormat="1" ht="28.5" customHeight="1">
      <c r="B15" s="43" t="s">
        <v>333</v>
      </c>
      <c r="C15" s="44">
        <v>6727260</v>
      </c>
      <c r="D15" s="44">
        <v>326566</v>
      </c>
      <c r="E15" s="45">
        <v>40821</v>
      </c>
      <c r="F15" s="46" t="s">
        <v>334</v>
      </c>
      <c r="I15" s="105"/>
    </row>
    <row r="16" spans="1:10" s="33" customFormat="1" ht="28.5" customHeight="1">
      <c r="B16" s="43" t="s">
        <v>335</v>
      </c>
      <c r="C16" s="44">
        <v>5176203</v>
      </c>
      <c r="D16" s="44">
        <v>251272</v>
      </c>
      <c r="E16" s="45">
        <v>31409</v>
      </c>
      <c r="F16" s="46"/>
    </row>
    <row r="17" spans="1:6" s="33" customFormat="1" ht="28.5" customHeight="1">
      <c r="B17" s="43" t="s">
        <v>336</v>
      </c>
      <c r="C17" s="44">
        <v>6943457</v>
      </c>
      <c r="D17" s="44">
        <v>337061</v>
      </c>
      <c r="E17" s="45">
        <v>42133</v>
      </c>
      <c r="F17" s="46" t="s">
        <v>337</v>
      </c>
    </row>
    <row r="18" spans="1:6" s="33" customFormat="1" ht="28.5" customHeight="1">
      <c r="B18" s="43" t="s">
        <v>338</v>
      </c>
      <c r="C18" s="44">
        <v>6099042</v>
      </c>
      <c r="D18" s="44">
        <v>296070</v>
      </c>
      <c r="E18" s="45">
        <v>37009</v>
      </c>
      <c r="F18" s="46" t="s">
        <v>339</v>
      </c>
    </row>
    <row r="19" spans="1:6" s="33" customFormat="1" ht="28.5" customHeight="1">
      <c r="B19" s="43" t="s">
        <v>340</v>
      </c>
      <c r="C19" s="44">
        <v>10154626</v>
      </c>
      <c r="D19" s="44">
        <v>492943</v>
      </c>
      <c r="E19" s="45">
        <v>61618</v>
      </c>
      <c r="F19" s="46" t="s">
        <v>341</v>
      </c>
    </row>
    <row r="20" spans="1:6" s="33" customFormat="1" ht="28.5" customHeight="1">
      <c r="B20" s="43" t="s">
        <v>342</v>
      </c>
      <c r="C20" s="44">
        <v>5058021</v>
      </c>
      <c r="D20" s="44">
        <v>245535</v>
      </c>
      <c r="E20" s="45">
        <v>30692</v>
      </c>
      <c r="F20" s="46"/>
    </row>
    <row r="21" spans="1:6" s="33" customFormat="1" ht="28.5" customHeight="1">
      <c r="B21" s="43" t="s">
        <v>343</v>
      </c>
      <c r="C21" s="44">
        <v>11056617</v>
      </c>
      <c r="D21" s="44">
        <v>536729</v>
      </c>
      <c r="E21" s="45">
        <v>67091</v>
      </c>
      <c r="F21" s="46" t="s">
        <v>344</v>
      </c>
    </row>
    <row r="22" spans="1:6" s="33" customFormat="1" ht="28.5" customHeight="1">
      <c r="B22" s="43" t="s">
        <v>345</v>
      </c>
      <c r="C22" s="44">
        <v>9692094</v>
      </c>
      <c r="D22" s="44">
        <v>470490</v>
      </c>
      <c r="E22" s="45">
        <v>58811</v>
      </c>
      <c r="F22" s="46"/>
    </row>
    <row r="23" spans="1:6" s="33" customFormat="1" ht="28.5" customHeight="1">
      <c r="B23" s="43" t="s">
        <v>346</v>
      </c>
      <c r="C23" s="44">
        <v>3570557</v>
      </c>
      <c r="D23" s="44">
        <v>173328</v>
      </c>
      <c r="E23" s="45">
        <v>21666</v>
      </c>
      <c r="F23" s="46"/>
    </row>
    <row r="24" spans="1:6" s="33" customFormat="1" ht="28.5" customHeight="1">
      <c r="B24" s="43" t="s">
        <v>347</v>
      </c>
      <c r="C24" s="44">
        <v>10351376</v>
      </c>
      <c r="D24" s="44">
        <v>502494</v>
      </c>
      <c r="E24" s="45">
        <v>62812</v>
      </c>
      <c r="F24" s="46"/>
    </row>
    <row r="25" spans="1:6" s="33" customFormat="1" ht="28.5" customHeight="1">
      <c r="B25" s="47" t="s">
        <v>348</v>
      </c>
      <c r="C25" s="48">
        <v>9857100</v>
      </c>
      <c r="D25" s="48">
        <v>478500</v>
      </c>
      <c r="E25" s="49">
        <v>59813</v>
      </c>
      <c r="F25" s="50" t="s">
        <v>349</v>
      </c>
    </row>
    <row r="26" spans="1:6" s="33" customFormat="1" ht="7.5" customHeight="1"/>
    <row r="27" spans="1:6" s="33" customFormat="1" ht="215.25" customHeight="1">
      <c r="B27" s="271" t="s">
        <v>350</v>
      </c>
      <c r="C27" s="271"/>
      <c r="D27" s="271"/>
      <c r="E27" s="271"/>
      <c r="F27" s="271"/>
    </row>
    <row r="28" spans="1:6" s="33" customFormat="1" ht="9.75" customHeight="1"/>
    <row r="29" spans="1:6" s="33" customFormat="1">
      <c r="B29" s="51" t="s">
        <v>351</v>
      </c>
    </row>
    <row r="30" spans="1:6" s="33" customFormat="1" ht="9" customHeight="1"/>
    <row r="31" spans="1:6" s="33" customFormat="1" ht="19">
      <c r="A31" s="272" t="s">
        <v>352</v>
      </c>
      <c r="B31" s="272"/>
      <c r="C31" s="272"/>
      <c r="D31" s="272"/>
      <c r="E31" s="272"/>
      <c r="F31" s="272"/>
    </row>
    <row r="32" spans="1:6" s="33" customFormat="1" ht="33" customHeight="1">
      <c r="A32" s="267" t="s">
        <v>353</v>
      </c>
      <c r="B32" s="267"/>
      <c r="C32" s="267"/>
      <c r="D32" s="267"/>
      <c r="E32" s="267"/>
      <c r="F32" s="267"/>
    </row>
    <row r="33" s="33" customFormat="1"/>
    <row r="34" s="33" customFormat="1"/>
    <row r="35" s="33" customFormat="1"/>
    <row r="36" s="33" customFormat="1"/>
    <row r="37" s="33" customFormat="1"/>
    <row r="38" s="33" customFormat="1"/>
    <row r="39" s="33" customFormat="1"/>
    <row r="40" s="33" customFormat="1"/>
    <row r="41" s="33" customFormat="1"/>
    <row r="42" s="33" customFormat="1"/>
    <row r="43" s="33" customFormat="1"/>
    <row r="44" s="33" customFormat="1"/>
    <row r="45" s="33" customFormat="1"/>
    <row r="46" s="33" customFormat="1"/>
    <row r="47" s="33" customFormat="1"/>
    <row r="48" s="33" customFormat="1"/>
    <row r="49" s="33" customFormat="1"/>
    <row r="50" s="33" customFormat="1"/>
    <row r="51" s="33" customFormat="1"/>
    <row r="52" s="33" customFormat="1"/>
    <row r="53" s="33" customFormat="1"/>
    <row r="54" s="33" customFormat="1"/>
    <row r="55" s="33" customFormat="1"/>
    <row r="56" s="33" customFormat="1"/>
    <row r="57" s="33" customFormat="1"/>
    <row r="58" s="33" customFormat="1"/>
    <row r="59" s="33" customFormat="1"/>
    <row r="60" s="33" customFormat="1"/>
    <row r="61" s="33" customFormat="1"/>
    <row r="62" s="33" customFormat="1"/>
    <row r="63" s="33" customFormat="1"/>
    <row r="64" s="33" customFormat="1"/>
    <row r="65" s="33" customFormat="1"/>
    <row r="66" s="33" customFormat="1"/>
    <row r="67" s="33" customFormat="1"/>
    <row r="68" s="33" customFormat="1"/>
    <row r="69" s="33" customFormat="1"/>
    <row r="70" s="33" customFormat="1"/>
    <row r="71" s="33" customFormat="1"/>
    <row r="72" s="33" customFormat="1"/>
    <row r="73" s="33" customFormat="1"/>
    <row r="74" s="33" customFormat="1"/>
    <row r="75" s="33" customFormat="1"/>
    <row r="76" s="33" customFormat="1"/>
    <row r="77" s="33" customFormat="1"/>
    <row r="78" s="33" customFormat="1"/>
    <row r="79" s="33" customFormat="1"/>
    <row r="80" s="33" customFormat="1"/>
    <row r="81" s="33" customFormat="1"/>
    <row r="82" s="33" customFormat="1"/>
    <row r="83" s="33" customFormat="1"/>
    <row r="84" s="33" customFormat="1"/>
    <row r="85" s="33" customFormat="1"/>
    <row r="86" s="33" customFormat="1"/>
    <row r="87" s="33" customFormat="1"/>
    <row r="88" s="33" customFormat="1"/>
    <row r="89" s="33" customFormat="1"/>
    <row r="90" s="33" customFormat="1"/>
    <row r="91" s="33" customFormat="1"/>
    <row r="92" s="33" customFormat="1"/>
    <row r="93" s="33" customFormat="1"/>
    <row r="94" s="33" customFormat="1"/>
    <row r="95" s="33" customFormat="1"/>
    <row r="96" s="33" customFormat="1"/>
    <row r="97" s="33" customFormat="1"/>
    <row r="98" s="33" customFormat="1"/>
    <row r="99" s="33" customFormat="1"/>
    <row r="100" s="33" customFormat="1"/>
    <row r="101" s="33" customFormat="1"/>
    <row r="102" s="33" customFormat="1"/>
    <row r="103" s="33" customFormat="1"/>
    <row r="104" s="33" customFormat="1"/>
    <row r="105" s="33" customFormat="1"/>
    <row r="106" s="33" customFormat="1"/>
    <row r="107" s="33" customFormat="1"/>
    <row r="108" s="33" customFormat="1"/>
    <row r="109" s="33" customFormat="1"/>
    <row r="110" s="33" customFormat="1"/>
    <row r="111" s="33" customFormat="1"/>
    <row r="112" s="33" customFormat="1"/>
    <row r="113" s="33" customFormat="1"/>
    <row r="114" s="33" customFormat="1"/>
    <row r="115" s="33" customFormat="1"/>
    <row r="116" s="33" customFormat="1"/>
    <row r="117" s="33" customFormat="1"/>
    <row r="118" s="33" customFormat="1"/>
    <row r="119" s="33" customFormat="1"/>
  </sheetData>
  <mergeCells count="6">
    <mergeCell ref="A32:F32"/>
    <mergeCell ref="B2:F2"/>
    <mergeCell ref="B4:F4"/>
    <mergeCell ref="B6:F6"/>
    <mergeCell ref="B27:F27"/>
    <mergeCell ref="A31:F31"/>
  </mergeCells>
  <phoneticPr fontId="3" type="noConversion"/>
  <pageMargins left="0.43" right="0.38" top="0.52" bottom="0.17" header="0.3" footer="0.17"/>
  <pageSetup paperSize="9" orientation="portrait" verticalDpi="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1661B0-5DB3-AD41-83D1-52832F3449B2}">
  <sheetPr>
    <tabColor theme="9"/>
    <pageSetUpPr fitToPage="1"/>
  </sheetPr>
  <dimension ref="B4:N40"/>
  <sheetViews>
    <sheetView zoomScale="132" zoomScaleNormal="132" workbookViewId="0">
      <selection activeCell="M19" sqref="M19"/>
    </sheetView>
  </sheetViews>
  <sheetFormatPr baseColWidth="10" defaultRowHeight="18"/>
  <cols>
    <col min="2" max="2" width="4.85546875" customWidth="1"/>
    <col min="3" max="3" width="14.5703125" bestFit="1" customWidth="1"/>
    <col min="4" max="4" width="15.140625" bestFit="1" customWidth="1"/>
    <col min="5" max="5" width="51.28515625" bestFit="1" customWidth="1"/>
    <col min="6" max="6" width="14" bestFit="1" customWidth="1"/>
    <col min="7" max="7" width="13" customWidth="1"/>
    <col min="8" max="8" width="13" bestFit="1" customWidth="1"/>
    <col min="9" max="9" width="13.85546875" bestFit="1" customWidth="1"/>
    <col min="10" max="10" width="13.85546875" customWidth="1"/>
    <col min="11" max="11" width="17.28515625" hidden="1" customWidth="1"/>
    <col min="12" max="12" width="15.7109375" bestFit="1" customWidth="1"/>
    <col min="13" max="13" width="48.140625" customWidth="1"/>
  </cols>
  <sheetData>
    <row r="4" spans="2:14" ht="19" thickBot="1"/>
    <row r="5" spans="2:14" ht="28" customHeight="1">
      <c r="B5" s="288" t="s">
        <v>276</v>
      </c>
      <c r="C5" s="289"/>
      <c r="D5" s="289" t="s">
        <v>284</v>
      </c>
      <c r="E5" s="289" t="s">
        <v>388</v>
      </c>
      <c r="F5" s="289" t="s">
        <v>290</v>
      </c>
      <c r="G5" s="289" t="s">
        <v>306</v>
      </c>
      <c r="H5" s="296"/>
      <c r="I5" s="280" t="s">
        <v>295</v>
      </c>
      <c r="J5" s="280" t="s">
        <v>301</v>
      </c>
      <c r="K5" s="280" t="s">
        <v>354</v>
      </c>
      <c r="L5" s="274" t="s">
        <v>298</v>
      </c>
      <c r="M5" s="276" t="s">
        <v>299</v>
      </c>
    </row>
    <row r="6" spans="2:14" ht="28" customHeight="1" thickBot="1">
      <c r="B6" s="290"/>
      <c r="C6" s="291"/>
      <c r="D6" s="291"/>
      <c r="E6" s="291"/>
      <c r="F6" s="291"/>
      <c r="G6" s="23" t="s">
        <v>278</v>
      </c>
      <c r="H6" s="55" t="s">
        <v>302</v>
      </c>
      <c r="I6" s="281"/>
      <c r="J6" s="281"/>
      <c r="K6" s="281"/>
      <c r="L6" s="275"/>
      <c r="M6" s="277"/>
    </row>
    <row r="7" spans="2:14" ht="38" customHeight="1">
      <c r="B7" s="286">
        <v>1</v>
      </c>
      <c r="C7" s="284" t="s">
        <v>277</v>
      </c>
      <c r="D7" s="56" t="s">
        <v>271</v>
      </c>
      <c r="E7" s="104" t="s">
        <v>287</v>
      </c>
      <c r="F7" s="56" t="s">
        <v>291</v>
      </c>
      <c r="G7" s="56" t="s">
        <v>279</v>
      </c>
      <c r="H7" s="116">
        <f>SUM(H26:H28)</f>
        <v>2420000</v>
      </c>
      <c r="I7" s="292">
        <f>AVERAGE(G22:G24)</f>
        <v>1077010</v>
      </c>
      <c r="J7" s="294">
        <f>SUM(H7:H10)-I7</f>
        <v>1817990</v>
      </c>
      <c r="K7" s="282">
        <f>'old_KakakoPaySec_수익성 검토'!I12*1.1</f>
        <v>5496935.4000000004</v>
      </c>
      <c r="L7" s="57"/>
      <c r="M7" s="58"/>
    </row>
    <row r="8" spans="2:14" ht="38" customHeight="1">
      <c r="B8" s="287"/>
      <c r="C8" s="285"/>
      <c r="D8" s="59" t="s">
        <v>285</v>
      </c>
      <c r="E8" s="65" t="s">
        <v>288</v>
      </c>
      <c r="F8" s="59" t="s">
        <v>292</v>
      </c>
      <c r="G8" s="59" t="s">
        <v>300</v>
      </c>
      <c r="H8" s="66">
        <f>700000/4</f>
        <v>175000</v>
      </c>
      <c r="I8" s="293"/>
      <c r="J8" s="295"/>
      <c r="K8" s="283"/>
      <c r="L8" s="60"/>
      <c r="M8" s="61" t="s">
        <v>407</v>
      </c>
    </row>
    <row r="9" spans="2:14" ht="38" customHeight="1">
      <c r="B9" s="287"/>
      <c r="C9" s="285"/>
      <c r="D9" s="59" t="s">
        <v>259</v>
      </c>
      <c r="E9" s="65" t="s">
        <v>288</v>
      </c>
      <c r="F9" s="59" t="s">
        <v>292</v>
      </c>
      <c r="G9" s="59" t="s">
        <v>300</v>
      </c>
      <c r="H9" s="66">
        <v>300000</v>
      </c>
      <c r="I9" s="293"/>
      <c r="J9" s="295"/>
      <c r="K9" s="283"/>
      <c r="L9" s="60"/>
      <c r="M9" s="61" t="s">
        <v>406</v>
      </c>
    </row>
    <row r="10" spans="2:14" ht="38" customHeight="1">
      <c r="B10" s="287"/>
      <c r="C10" s="285"/>
      <c r="D10" s="59" t="s">
        <v>272</v>
      </c>
      <c r="E10" s="65" t="s">
        <v>286</v>
      </c>
      <c r="F10" s="59" t="s">
        <v>230</v>
      </c>
      <c r="G10" s="59" t="s">
        <v>300</v>
      </c>
      <c r="H10" s="66">
        <v>0</v>
      </c>
      <c r="I10" s="117">
        <v>0</v>
      </c>
      <c r="J10" s="62"/>
      <c r="K10" s="63">
        <v>0</v>
      </c>
      <c r="L10" s="60"/>
      <c r="M10" s="61" t="s">
        <v>381</v>
      </c>
    </row>
    <row r="11" spans="2:14" ht="38" customHeight="1">
      <c r="B11" s="64">
        <v>2</v>
      </c>
      <c r="C11" s="59" t="s">
        <v>41</v>
      </c>
      <c r="D11" s="59"/>
      <c r="E11" s="65" t="s">
        <v>289</v>
      </c>
      <c r="F11" s="59" t="s">
        <v>292</v>
      </c>
      <c r="G11" s="59" t="s">
        <v>293</v>
      </c>
      <c r="H11" s="66">
        <v>5000000</v>
      </c>
      <c r="I11" s="118">
        <v>0</v>
      </c>
      <c r="J11" s="67">
        <v>0</v>
      </c>
      <c r="K11" s="63">
        <v>10000000</v>
      </c>
      <c r="L11" s="60"/>
      <c r="M11" s="115" t="s">
        <v>389</v>
      </c>
      <c r="N11" s="1" t="s">
        <v>264</v>
      </c>
    </row>
    <row r="12" spans="2:14" ht="38" customHeight="1">
      <c r="B12" s="64">
        <v>3</v>
      </c>
      <c r="C12" s="59" t="s">
        <v>262</v>
      </c>
      <c r="D12" s="59"/>
      <c r="E12" s="65" t="s">
        <v>304</v>
      </c>
      <c r="F12" s="59" t="s">
        <v>292</v>
      </c>
      <c r="G12" s="59" t="s">
        <v>293</v>
      </c>
      <c r="H12" s="66">
        <v>3000000</v>
      </c>
      <c r="I12" s="118">
        <v>0</v>
      </c>
      <c r="J12" s="67">
        <v>0</v>
      </c>
      <c r="K12" s="63">
        <f>3500000*0.5</f>
        <v>1750000</v>
      </c>
      <c r="L12" s="60"/>
      <c r="M12" s="61" t="s">
        <v>386</v>
      </c>
    </row>
    <row r="13" spans="2:14" ht="38" customHeight="1">
      <c r="B13" s="68">
        <v>4</v>
      </c>
      <c r="C13" s="69" t="s">
        <v>39</v>
      </c>
      <c r="D13" s="69"/>
      <c r="E13" s="83" t="s">
        <v>294</v>
      </c>
      <c r="F13" s="69" t="s">
        <v>358</v>
      </c>
      <c r="G13" s="69" t="s">
        <v>355</v>
      </c>
      <c r="H13" s="70">
        <v>1500000</v>
      </c>
      <c r="I13" s="119">
        <v>740000</v>
      </c>
      <c r="J13" s="71">
        <f>H13-I13</f>
        <v>760000</v>
      </c>
      <c r="K13" s="72">
        <f>'old_KakakoPaySec_수익성 검토'!I12</f>
        <v>4997214</v>
      </c>
      <c r="L13" s="73" t="s">
        <v>296</v>
      </c>
      <c r="M13" s="74" t="s">
        <v>387</v>
      </c>
    </row>
    <row r="14" spans="2:14" ht="38" customHeight="1">
      <c r="B14" s="68">
        <v>5</v>
      </c>
      <c r="C14" s="69" t="s">
        <v>38</v>
      </c>
      <c r="D14" s="69"/>
      <c r="E14" s="83" t="s">
        <v>314</v>
      </c>
      <c r="F14" s="69" t="s">
        <v>358</v>
      </c>
      <c r="G14" s="69" t="s">
        <v>355</v>
      </c>
      <c r="H14" s="70">
        <v>1000000</v>
      </c>
      <c r="I14" s="119">
        <f>(85120+24000+4000)*1.25</f>
        <v>141400</v>
      </c>
      <c r="J14" s="71">
        <f>H14-I14</f>
        <v>858600</v>
      </c>
      <c r="K14" s="72">
        <f>'개발자 노임단가'!C18*0.5</f>
        <v>3049521</v>
      </c>
      <c r="L14" s="73" t="s">
        <v>297</v>
      </c>
      <c r="M14" s="74" t="s">
        <v>383</v>
      </c>
    </row>
    <row r="15" spans="2:14" ht="38" customHeight="1">
      <c r="B15" s="64">
        <v>6</v>
      </c>
      <c r="C15" s="59" t="s">
        <v>40</v>
      </c>
      <c r="D15" s="59"/>
      <c r="E15" s="109" t="s">
        <v>357</v>
      </c>
      <c r="F15" s="59" t="s">
        <v>291</v>
      </c>
      <c r="G15" s="59" t="s">
        <v>307</v>
      </c>
      <c r="H15" s="110">
        <v>0</v>
      </c>
      <c r="I15" s="120">
        <f>(173120+24000+4000+17470)*1.25</f>
        <v>273237.5</v>
      </c>
      <c r="J15" s="111">
        <f>H15-I15</f>
        <v>-273237.5</v>
      </c>
      <c r="K15" s="112"/>
      <c r="L15" s="113"/>
      <c r="M15" s="114"/>
    </row>
    <row r="16" spans="2:14" ht="38" customHeight="1" thickBot="1">
      <c r="B16" s="75">
        <v>7</v>
      </c>
      <c r="C16" s="76" t="s">
        <v>305</v>
      </c>
      <c r="D16" s="76" t="s">
        <v>382</v>
      </c>
      <c r="E16" s="77" t="s">
        <v>308</v>
      </c>
      <c r="F16" s="59" t="s">
        <v>292</v>
      </c>
      <c r="G16" s="76" t="s">
        <v>307</v>
      </c>
      <c r="H16" s="78">
        <v>0</v>
      </c>
      <c r="I16" s="121">
        <f>75000+24000+4000+17470</f>
        <v>120470</v>
      </c>
      <c r="J16" s="79">
        <f>H16-I16</f>
        <v>-120470</v>
      </c>
      <c r="K16" s="80">
        <f>'개발자 노임단가'!D15*5</f>
        <v>1632830</v>
      </c>
      <c r="L16" s="81"/>
      <c r="M16" s="82"/>
    </row>
    <row r="17" spans="2:13" ht="38" customHeight="1" thickBot="1">
      <c r="B17" s="278" t="s">
        <v>303</v>
      </c>
      <c r="C17" s="279"/>
      <c r="D17" s="24"/>
      <c r="E17" s="24"/>
      <c r="F17" s="24"/>
      <c r="G17" s="24"/>
      <c r="H17" s="25">
        <f>SUM(H7:H16)</f>
        <v>13395000</v>
      </c>
      <c r="I17" s="122">
        <f t="shared" ref="I17:K17" si="0">SUM(I7:I16)</f>
        <v>2352117.5</v>
      </c>
      <c r="J17" s="52">
        <f t="shared" si="0"/>
        <v>3042882.5</v>
      </c>
      <c r="K17" s="54">
        <f t="shared" si="0"/>
        <v>26926500.399999999</v>
      </c>
      <c r="L17" s="53"/>
      <c r="M17" s="26"/>
    </row>
    <row r="18" spans="2:13" ht="38" customHeight="1">
      <c r="G18" s="123" t="s">
        <v>384</v>
      </c>
      <c r="H18" s="124">
        <f>H17*12</f>
        <v>160740000</v>
      </c>
      <c r="I18" s="124"/>
      <c r="J18" s="124">
        <f>J17*12</f>
        <v>36514590</v>
      </c>
      <c r="K18" s="21"/>
    </row>
    <row r="19" spans="2:13">
      <c r="H19" s="19"/>
      <c r="J19" s="20"/>
    </row>
    <row r="20" spans="2:13">
      <c r="H20" s="19"/>
      <c r="J20" s="20"/>
    </row>
    <row r="21" spans="2:13">
      <c r="F21" s="106" t="s">
        <v>313</v>
      </c>
      <c r="G21" s="14" t="s">
        <v>312</v>
      </c>
    </row>
    <row r="22" spans="2:13">
      <c r="F22" s="22" t="s">
        <v>309</v>
      </c>
      <c r="G22" s="19">
        <v>1189430</v>
      </c>
    </row>
    <row r="23" spans="2:13">
      <c r="F23" s="22" t="s">
        <v>310</v>
      </c>
      <c r="G23" s="19">
        <v>1029380</v>
      </c>
    </row>
    <row r="24" spans="2:13">
      <c r="F24" s="22" t="s">
        <v>311</v>
      </c>
      <c r="G24" s="19">
        <v>1012220</v>
      </c>
      <c r="J24" t="s">
        <v>356</v>
      </c>
    </row>
    <row r="25" spans="2:13">
      <c r="G25" s="20"/>
    </row>
    <row r="26" spans="2:13">
      <c r="F26" s="273" t="s">
        <v>385</v>
      </c>
      <c r="G26" s="20" t="s">
        <v>374</v>
      </c>
      <c r="H26" s="19">
        <v>990000</v>
      </c>
      <c r="I26" t="s">
        <v>371</v>
      </c>
    </row>
    <row r="27" spans="2:13">
      <c r="F27" s="273"/>
      <c r="G27" s="20" t="s">
        <v>374</v>
      </c>
      <c r="H27" s="19">
        <v>1100000</v>
      </c>
      <c r="I27" t="s">
        <v>372</v>
      </c>
    </row>
    <row r="28" spans="2:13">
      <c r="F28" s="273"/>
      <c r="G28" s="20" t="s">
        <v>374</v>
      </c>
      <c r="H28" s="19">
        <v>330000</v>
      </c>
      <c r="I28" t="s">
        <v>373</v>
      </c>
    </row>
    <row r="29" spans="2:13">
      <c r="F29" s="273"/>
      <c r="G29" s="107" t="s">
        <v>379</v>
      </c>
      <c r="H29" s="108">
        <f>SUM(H26:H28)</f>
        <v>2420000</v>
      </c>
      <c r="I29" s="101"/>
    </row>
    <row r="30" spans="2:13">
      <c r="F30" s="273"/>
      <c r="G30" s="20" t="s">
        <v>376</v>
      </c>
      <c r="H30" s="19">
        <v>264000</v>
      </c>
      <c r="I30" t="s">
        <v>375</v>
      </c>
    </row>
    <row r="31" spans="2:13">
      <c r="F31" s="273"/>
      <c r="G31" s="20" t="s">
        <v>376</v>
      </c>
      <c r="H31" s="19">
        <v>1320000</v>
      </c>
      <c r="I31" t="s">
        <v>377</v>
      </c>
    </row>
    <row r="32" spans="2:13">
      <c r="F32" s="273"/>
      <c r="G32" s="20" t="s">
        <v>376</v>
      </c>
      <c r="H32" s="19">
        <v>2508000</v>
      </c>
      <c r="I32" t="s">
        <v>378</v>
      </c>
    </row>
    <row r="33" spans="6:10">
      <c r="F33" s="273"/>
      <c r="G33" s="107" t="s">
        <v>380</v>
      </c>
      <c r="H33" s="108">
        <f>SUM(H30:H32)</f>
        <v>4092000</v>
      </c>
      <c r="I33" s="101"/>
    </row>
    <row r="34" spans="6:10">
      <c r="F34" s="273"/>
      <c r="G34" s="102" t="s">
        <v>303</v>
      </c>
      <c r="H34" s="103">
        <f>H33+H29</f>
        <v>6512000</v>
      </c>
    </row>
    <row r="35" spans="6:10">
      <c r="G35" s="20"/>
    </row>
    <row r="36" spans="6:10">
      <c r="J36" s="20"/>
    </row>
    <row r="37" spans="6:10">
      <c r="J37" s="20"/>
    </row>
    <row r="38" spans="6:10">
      <c r="J38" s="20"/>
    </row>
    <row r="39" spans="6:10">
      <c r="J39" s="20"/>
    </row>
    <row r="40" spans="6:10">
      <c r="J40" s="20"/>
    </row>
  </sheetData>
  <mergeCells count="17">
    <mergeCell ref="I5:I6"/>
    <mergeCell ref="F26:F34"/>
    <mergeCell ref="L5:L6"/>
    <mergeCell ref="M5:M6"/>
    <mergeCell ref="B17:C17"/>
    <mergeCell ref="J5:J6"/>
    <mergeCell ref="K5:K6"/>
    <mergeCell ref="K7:K9"/>
    <mergeCell ref="C7:C10"/>
    <mergeCell ref="B7:B10"/>
    <mergeCell ref="B5:C6"/>
    <mergeCell ref="I7:I9"/>
    <mergeCell ref="J7:J9"/>
    <mergeCell ref="D5:D6"/>
    <mergeCell ref="E5:E6"/>
    <mergeCell ref="F5:F6"/>
    <mergeCell ref="G5:H5"/>
  </mergeCells>
  <phoneticPr fontId="3" type="noConversion"/>
  <hyperlinks>
    <hyperlink ref="E11" r:id="rId1" location="gid=327166500" xr:uid="{E6E7EB77-647D-2243-807D-76746E832BE9}"/>
    <hyperlink ref="E12" r:id="rId2" location="gid=327166500" xr:uid="{93686DFE-F4DE-D14E-AAF8-2D7EC93A8FB6}"/>
    <hyperlink ref="E16" r:id="rId3" xr:uid="{0502EDE6-87DD-8B46-97E8-B4B2E64AFB13}"/>
    <hyperlink ref="E14" r:id="rId4" xr:uid="{5E00219B-BBFE-5C42-8D33-F166E8074BAC}"/>
    <hyperlink ref="E15" r:id="rId5" xr:uid="{ED069807-E3EF-BA4D-AB30-01619D578794}"/>
    <hyperlink ref="N11" r:id="rId6" xr:uid="{A7200C2F-4D41-0748-8358-4264AEED7348}"/>
    <hyperlink ref="E13" r:id="rId7" xr:uid="{BAC79A90-D954-3E48-9386-856095F05F27}"/>
    <hyperlink ref="E10" r:id="rId8" xr:uid="{AC1AC836-AF78-6D47-B873-4D16B5353050}"/>
    <hyperlink ref="E7" r:id="rId9" xr:uid="{179A2D03-9B22-5C48-860C-1EDF62269A11}"/>
    <hyperlink ref="E9" r:id="rId10" xr:uid="{136F6FB6-2DC3-F54F-B5D2-73382D04D7F9}"/>
    <hyperlink ref="E8" r:id="rId11" xr:uid="{130D7A46-456C-F848-9781-CD76148D0F26}"/>
    <hyperlink ref="M11" r:id="rId12" display="프로젝트 게시판 운영" xr:uid="{E450BD97-4374-4F43-B7BE-466CCCFF419E}"/>
  </hyperlinks>
  <pageMargins left="0.7" right="0.7" top="0.75" bottom="0.75" header="0.3" footer="0.3"/>
  <pageSetup paperSize="9" scale="49" orientation="landscape" horizontalDpi="0" verticalDpi="0"/>
  <ignoredErrors>
    <ignoredError sqref="J7 H7" formulaRange="1"/>
    <ignoredError sqref="F21:G24" numberStoredAsText="1"/>
  </ignoredErrors>
  <legacyDrawing r:id="rId1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39DD9B-9E0F-5046-85A7-47EF9B628337}">
  <sheetPr>
    <tabColor rgb="FF0070C0"/>
  </sheetPr>
  <dimension ref="A1:R43"/>
  <sheetViews>
    <sheetView topLeftCell="A23" zoomScale="153" zoomScaleNormal="153" workbookViewId="0">
      <selection activeCell="E46" sqref="E46"/>
    </sheetView>
  </sheetViews>
  <sheetFormatPr baseColWidth="10" defaultRowHeight="18"/>
  <cols>
    <col min="1" max="1" width="10.7109375" style="14"/>
    <col min="2" max="2" width="11.28515625" bestFit="1" customWidth="1"/>
    <col min="3" max="3" width="14" bestFit="1" customWidth="1"/>
    <col min="4" max="4" width="29.42578125" bestFit="1" customWidth="1"/>
    <col min="5" max="5" width="51.42578125" bestFit="1" customWidth="1"/>
    <col min="6" max="6" width="13.28515625" bestFit="1" customWidth="1"/>
    <col min="7" max="7" width="19.140625" bestFit="1" customWidth="1"/>
    <col min="8" max="8" width="15.28515625" bestFit="1" customWidth="1"/>
    <col min="9" max="9" width="6.7109375" style="2" bestFit="1" customWidth="1"/>
    <col min="10" max="10" width="20.28515625" bestFit="1" customWidth="1"/>
    <col min="11" max="11" width="13.42578125" bestFit="1" customWidth="1"/>
    <col min="13" max="13" width="21.5703125" bestFit="1" customWidth="1"/>
    <col min="15" max="15" width="33.42578125" bestFit="1" customWidth="1"/>
    <col min="16" max="16" width="33.42578125" customWidth="1"/>
    <col min="17" max="17" width="28.140625" bestFit="1" customWidth="1"/>
    <col min="18" max="18" width="15.140625" bestFit="1" customWidth="1"/>
  </cols>
  <sheetData>
    <row r="1" spans="1:18" ht="19" thickBot="1"/>
    <row r="2" spans="1:18" s="2" customFormat="1">
      <c r="A2" s="297">
        <f>SUBTOTAL(9,A4:A43)</f>
        <v>31</v>
      </c>
      <c r="B2" s="312" t="s">
        <v>0</v>
      </c>
      <c r="C2" s="310"/>
      <c r="D2" s="310" t="s">
        <v>8</v>
      </c>
      <c r="E2" s="310" t="s">
        <v>1</v>
      </c>
      <c r="F2" s="310" t="s">
        <v>2</v>
      </c>
      <c r="G2" s="310"/>
      <c r="H2" s="310"/>
      <c r="I2" s="310"/>
      <c r="J2" s="310"/>
      <c r="K2" s="310"/>
      <c r="L2" s="314"/>
      <c r="M2" s="3"/>
      <c r="N2" s="3"/>
      <c r="O2" s="3"/>
      <c r="P2" s="3"/>
      <c r="Q2" s="3"/>
      <c r="R2" s="3"/>
    </row>
    <row r="3" spans="1:18" s="2" customFormat="1" ht="19" thickBot="1">
      <c r="A3" s="298"/>
      <c r="B3" s="313"/>
      <c r="C3" s="311"/>
      <c r="D3" s="311"/>
      <c r="E3" s="311"/>
      <c r="F3" s="128" t="s">
        <v>12</v>
      </c>
      <c r="G3" s="128" t="s">
        <v>94</v>
      </c>
      <c r="H3" s="128" t="s">
        <v>11</v>
      </c>
      <c r="I3" s="128" t="s">
        <v>3</v>
      </c>
      <c r="J3" s="128" t="s">
        <v>4</v>
      </c>
      <c r="K3" s="128" t="s">
        <v>5</v>
      </c>
      <c r="L3" s="129" t="s">
        <v>14</v>
      </c>
      <c r="M3" s="3" t="s">
        <v>23</v>
      </c>
      <c r="N3" s="3" t="s">
        <v>6</v>
      </c>
      <c r="O3" s="3" t="s">
        <v>80</v>
      </c>
      <c r="P3" s="3" t="s">
        <v>25</v>
      </c>
      <c r="Q3" s="3" t="s">
        <v>24</v>
      </c>
      <c r="R3" s="3" t="s">
        <v>18</v>
      </c>
    </row>
    <row r="4" spans="1:18">
      <c r="A4" s="304">
        <f>COUNTA(E4:E15)</f>
        <v>9</v>
      </c>
      <c r="B4" s="302" t="s">
        <v>7</v>
      </c>
      <c r="C4" s="130" t="s">
        <v>82</v>
      </c>
      <c r="D4" s="130" t="s">
        <v>43</v>
      </c>
      <c r="E4" s="131" t="s">
        <v>47</v>
      </c>
      <c r="F4" s="130" t="s">
        <v>15</v>
      </c>
      <c r="G4" s="130" t="s">
        <v>96</v>
      </c>
      <c r="H4" s="130" t="s">
        <v>95</v>
      </c>
      <c r="I4" s="132">
        <v>80</v>
      </c>
      <c r="J4" s="130"/>
      <c r="K4" s="130"/>
      <c r="L4" s="133"/>
    </row>
    <row r="5" spans="1:18">
      <c r="A5" s="304"/>
      <c r="B5" s="302"/>
      <c r="C5" s="130" t="s">
        <v>82</v>
      </c>
      <c r="D5" s="130" t="s">
        <v>44</v>
      </c>
      <c r="E5" s="131" t="s">
        <v>46</v>
      </c>
      <c r="F5" s="130" t="s">
        <v>15</v>
      </c>
      <c r="G5" s="130" t="s">
        <v>98</v>
      </c>
      <c r="H5" s="130" t="s">
        <v>97</v>
      </c>
      <c r="I5" s="132">
        <v>8503</v>
      </c>
      <c r="J5" s="130"/>
      <c r="K5" s="130"/>
      <c r="L5" s="133"/>
    </row>
    <row r="6" spans="1:18">
      <c r="A6" s="304"/>
      <c r="B6" s="302"/>
      <c r="C6" s="130" t="s">
        <v>82</v>
      </c>
      <c r="D6" s="130" t="s">
        <v>45</v>
      </c>
      <c r="E6" s="131" t="s">
        <v>48</v>
      </c>
      <c r="F6" s="130" t="s">
        <v>15</v>
      </c>
      <c r="G6" s="130" t="s">
        <v>98</v>
      </c>
      <c r="H6" s="130" t="s">
        <v>97</v>
      </c>
      <c r="I6" s="132">
        <v>8507</v>
      </c>
      <c r="J6" s="130"/>
      <c r="K6" s="130"/>
      <c r="L6" s="133"/>
    </row>
    <row r="7" spans="1:18">
      <c r="A7" s="304"/>
      <c r="B7" s="302"/>
      <c r="C7" s="130" t="s">
        <v>82</v>
      </c>
      <c r="D7" s="130" t="s">
        <v>49</v>
      </c>
      <c r="E7" s="131" t="s">
        <v>50</v>
      </c>
      <c r="F7" s="130" t="s">
        <v>15</v>
      </c>
      <c r="G7" s="130" t="s">
        <v>96</v>
      </c>
      <c r="H7" s="130" t="s">
        <v>95</v>
      </c>
      <c r="I7" s="132">
        <v>80</v>
      </c>
      <c r="J7" s="130" t="s">
        <v>58</v>
      </c>
      <c r="K7" s="130" t="s">
        <v>59</v>
      </c>
      <c r="L7" s="133"/>
    </row>
    <row r="8" spans="1:18">
      <c r="A8" s="304"/>
      <c r="B8" s="302"/>
      <c r="C8" s="130"/>
      <c r="D8" s="130"/>
      <c r="E8" s="130"/>
      <c r="F8" s="130"/>
      <c r="G8" s="130"/>
      <c r="H8" s="130"/>
      <c r="I8" s="132"/>
      <c r="J8" s="130"/>
      <c r="K8" s="130"/>
      <c r="L8" s="133"/>
    </row>
    <row r="9" spans="1:18">
      <c r="A9" s="304"/>
      <c r="B9" s="302"/>
      <c r="C9" s="130" t="s">
        <v>82</v>
      </c>
      <c r="D9" s="130" t="s">
        <v>51</v>
      </c>
      <c r="E9" s="131" t="s">
        <v>52</v>
      </c>
      <c r="F9" s="130" t="s">
        <v>15</v>
      </c>
      <c r="G9" s="130" t="s">
        <v>93</v>
      </c>
      <c r="H9" s="130" t="s">
        <v>92</v>
      </c>
      <c r="I9" s="132">
        <v>80</v>
      </c>
      <c r="J9" s="130" t="s">
        <v>61</v>
      </c>
      <c r="K9" s="130" t="s">
        <v>59</v>
      </c>
      <c r="L9" s="133"/>
    </row>
    <row r="10" spans="1:18">
      <c r="A10" s="304"/>
      <c r="B10" s="302"/>
      <c r="C10" s="130" t="s">
        <v>82</v>
      </c>
      <c r="D10" s="130" t="s">
        <v>90</v>
      </c>
      <c r="E10" s="131" t="s">
        <v>91</v>
      </c>
      <c r="F10" s="130"/>
      <c r="G10" s="130" t="s">
        <v>93</v>
      </c>
      <c r="H10" s="130" t="s">
        <v>92</v>
      </c>
      <c r="I10" s="132">
        <v>80</v>
      </c>
      <c r="J10" s="130"/>
      <c r="K10" s="130"/>
      <c r="L10" s="133"/>
    </row>
    <row r="11" spans="1:18">
      <c r="A11" s="304"/>
      <c r="B11" s="302"/>
      <c r="C11" s="130" t="s">
        <v>82</v>
      </c>
      <c r="D11" s="130" t="s">
        <v>62</v>
      </c>
      <c r="E11" s="130"/>
      <c r="F11" s="130"/>
      <c r="G11" s="130"/>
      <c r="H11" s="130"/>
      <c r="I11" s="132"/>
      <c r="J11" s="130"/>
      <c r="K11" s="130"/>
      <c r="L11" s="133"/>
    </row>
    <row r="12" spans="1:18">
      <c r="A12" s="304"/>
      <c r="B12" s="302"/>
      <c r="C12" s="130" t="s">
        <v>82</v>
      </c>
      <c r="D12" s="134" t="s">
        <v>63</v>
      </c>
      <c r="E12" s="131" t="s">
        <v>64</v>
      </c>
      <c r="F12" s="130" t="s">
        <v>15</v>
      </c>
      <c r="G12" s="130" t="s">
        <v>93</v>
      </c>
      <c r="H12" s="130" t="s">
        <v>92</v>
      </c>
      <c r="I12" s="132">
        <v>80</v>
      </c>
      <c r="J12" s="130"/>
      <c r="K12" s="130"/>
      <c r="L12" s="133"/>
    </row>
    <row r="13" spans="1:18">
      <c r="A13" s="304"/>
      <c r="B13" s="302"/>
      <c r="C13" s="130" t="s">
        <v>82</v>
      </c>
      <c r="D13" s="134" t="s">
        <v>65</v>
      </c>
      <c r="E13" s="131" t="s">
        <v>66</v>
      </c>
      <c r="F13" s="135" t="s">
        <v>87</v>
      </c>
      <c r="G13" s="130"/>
      <c r="H13" s="130"/>
      <c r="I13" s="132"/>
      <c r="J13" s="130"/>
      <c r="K13" s="130"/>
      <c r="L13" s="133"/>
    </row>
    <row r="14" spans="1:18">
      <c r="A14" s="304"/>
      <c r="B14" s="302"/>
      <c r="C14" s="130" t="s">
        <v>82</v>
      </c>
      <c r="D14" s="136" t="s">
        <v>68</v>
      </c>
      <c r="E14" s="131" t="s">
        <v>69</v>
      </c>
      <c r="F14" s="130"/>
      <c r="G14" s="130" t="s">
        <v>96</v>
      </c>
      <c r="H14" s="130" t="s">
        <v>95</v>
      </c>
      <c r="I14" s="132">
        <v>80</v>
      </c>
      <c r="J14" s="130"/>
      <c r="K14" s="130"/>
      <c r="L14" s="133"/>
    </row>
    <row r="15" spans="1:18" ht="19" thickBot="1">
      <c r="A15" s="304"/>
      <c r="B15" s="302"/>
      <c r="C15" s="130"/>
      <c r="D15" s="134"/>
      <c r="E15" s="131"/>
      <c r="F15" s="130"/>
      <c r="G15" s="130"/>
      <c r="H15" s="130"/>
      <c r="I15" s="132"/>
      <c r="J15" s="130"/>
      <c r="K15" s="130"/>
      <c r="L15" s="133"/>
    </row>
    <row r="16" spans="1:18">
      <c r="A16" s="305">
        <f>COUNTA(E16:E22)</f>
        <v>5</v>
      </c>
      <c r="B16" s="299" t="s">
        <v>36</v>
      </c>
      <c r="C16" s="146" t="s">
        <v>82</v>
      </c>
      <c r="D16" s="146" t="s">
        <v>258</v>
      </c>
      <c r="E16" s="147" t="s">
        <v>359</v>
      </c>
      <c r="F16" s="146" t="s">
        <v>15</v>
      </c>
      <c r="G16" s="146"/>
      <c r="H16" s="146"/>
      <c r="I16" s="148"/>
      <c r="J16" s="146"/>
      <c r="K16" s="149"/>
      <c r="L16" s="150"/>
    </row>
    <row r="17" spans="1:18">
      <c r="A17" s="306"/>
      <c r="B17" s="300"/>
      <c r="C17" s="137"/>
      <c r="D17" s="140" t="s">
        <v>54</v>
      </c>
      <c r="E17" s="138" t="s">
        <v>53</v>
      </c>
      <c r="F17" s="137" t="s">
        <v>15</v>
      </c>
      <c r="G17" s="137"/>
      <c r="H17" s="137"/>
      <c r="I17" s="139"/>
      <c r="J17" s="137"/>
      <c r="K17" s="130"/>
      <c r="L17" s="133"/>
    </row>
    <row r="18" spans="1:18">
      <c r="A18" s="306"/>
      <c r="B18" s="300"/>
      <c r="C18" s="137"/>
      <c r="D18" s="140" t="s">
        <v>55</v>
      </c>
      <c r="E18" s="138" t="s">
        <v>56</v>
      </c>
      <c r="F18" s="137" t="s">
        <v>15</v>
      </c>
      <c r="G18" s="137"/>
      <c r="H18" s="137"/>
      <c r="I18" s="139"/>
      <c r="J18" s="137" t="s">
        <v>57</v>
      </c>
      <c r="K18" s="130" t="s">
        <v>57</v>
      </c>
      <c r="L18" s="133"/>
    </row>
    <row r="19" spans="1:18">
      <c r="A19" s="306"/>
      <c r="B19" s="300"/>
      <c r="C19" s="137"/>
      <c r="D19" s="140" t="s">
        <v>259</v>
      </c>
      <c r="E19" s="138" t="s">
        <v>203</v>
      </c>
      <c r="F19" s="137" t="s">
        <v>15</v>
      </c>
      <c r="G19" s="137"/>
      <c r="H19" s="137"/>
      <c r="I19" s="139"/>
      <c r="J19" s="137"/>
      <c r="K19" s="130"/>
      <c r="L19" s="133"/>
    </row>
    <row r="20" spans="1:18">
      <c r="A20" s="306"/>
      <c r="B20" s="300"/>
      <c r="C20" s="137"/>
      <c r="D20" s="140"/>
      <c r="E20" s="138"/>
      <c r="F20" s="137"/>
      <c r="G20" s="137"/>
      <c r="H20" s="137"/>
      <c r="I20" s="139"/>
      <c r="J20" s="137"/>
      <c r="K20" s="130"/>
      <c r="L20" s="133"/>
    </row>
    <row r="21" spans="1:18">
      <c r="A21" s="306"/>
      <c r="B21" s="300"/>
      <c r="C21" s="137" t="s">
        <v>82</v>
      </c>
      <c r="D21" s="137" t="s">
        <v>260</v>
      </c>
      <c r="E21" s="138" t="s">
        <v>60</v>
      </c>
      <c r="F21" s="137" t="s">
        <v>15</v>
      </c>
      <c r="G21" s="137" t="s">
        <v>16</v>
      </c>
      <c r="H21" s="137" t="s">
        <v>17</v>
      </c>
      <c r="I21" s="139">
        <v>8509</v>
      </c>
      <c r="J21" s="137"/>
      <c r="K21" s="130"/>
      <c r="L21" s="133"/>
    </row>
    <row r="22" spans="1:18">
      <c r="A22" s="306"/>
      <c r="B22" s="300"/>
      <c r="C22" s="137"/>
      <c r="D22" s="137"/>
      <c r="E22" s="137"/>
      <c r="F22" s="137"/>
      <c r="G22" s="137"/>
      <c r="H22" s="137"/>
      <c r="I22" s="139"/>
      <c r="J22" s="137"/>
      <c r="K22" s="130"/>
      <c r="L22" s="133"/>
    </row>
    <row r="23" spans="1:18">
      <c r="A23" s="304">
        <f>COUNTA(E23:E29)</f>
        <v>5</v>
      </c>
      <c r="B23" s="300" t="s">
        <v>37</v>
      </c>
      <c r="C23" s="137" t="s">
        <v>83</v>
      </c>
      <c r="D23" s="137" t="s">
        <v>38</v>
      </c>
      <c r="E23" s="138" t="s">
        <v>404</v>
      </c>
      <c r="F23" s="137" t="s">
        <v>15</v>
      </c>
      <c r="G23" s="137"/>
      <c r="H23" s="137"/>
      <c r="I23" s="139"/>
      <c r="J23" s="137"/>
      <c r="K23" s="130"/>
      <c r="L23" s="133"/>
    </row>
    <row r="24" spans="1:18">
      <c r="A24" s="304"/>
      <c r="B24" s="300"/>
      <c r="C24" s="141" t="s">
        <v>81</v>
      </c>
      <c r="D24" s="137" t="s">
        <v>39</v>
      </c>
      <c r="E24" s="138" t="s">
        <v>403</v>
      </c>
      <c r="F24" s="137" t="s">
        <v>88</v>
      </c>
      <c r="G24" s="137"/>
      <c r="H24" s="137"/>
      <c r="I24" s="139"/>
      <c r="J24" s="137"/>
      <c r="K24" s="130"/>
      <c r="L24" s="133"/>
    </row>
    <row r="25" spans="1:18">
      <c r="A25" s="304"/>
      <c r="B25" s="300"/>
      <c r="C25" s="141" t="s">
        <v>81</v>
      </c>
      <c r="D25" s="137" t="s">
        <v>40</v>
      </c>
      <c r="E25" s="138" t="s">
        <v>261</v>
      </c>
      <c r="F25" s="137" t="s">
        <v>15</v>
      </c>
      <c r="G25" s="137"/>
      <c r="H25" s="137"/>
      <c r="I25" s="139"/>
      <c r="J25" s="137"/>
      <c r="K25" s="130"/>
      <c r="L25" s="133"/>
    </row>
    <row r="26" spans="1:18">
      <c r="A26" s="304"/>
      <c r="B26" s="300"/>
      <c r="C26" s="141" t="s">
        <v>81</v>
      </c>
      <c r="D26" s="137" t="s">
        <v>41</v>
      </c>
      <c r="E26" s="138" t="s">
        <v>264</v>
      </c>
      <c r="F26" s="137" t="s">
        <v>15</v>
      </c>
      <c r="G26" s="137"/>
      <c r="H26" s="137"/>
      <c r="I26" s="139"/>
      <c r="J26" s="137"/>
      <c r="K26" s="130"/>
      <c r="L26" s="133"/>
    </row>
    <row r="27" spans="1:18">
      <c r="A27" s="304"/>
      <c r="B27" s="300"/>
      <c r="C27" s="141"/>
      <c r="D27" s="137" t="s">
        <v>262</v>
      </c>
      <c r="E27" s="142" t="s">
        <v>263</v>
      </c>
      <c r="F27" s="137" t="s">
        <v>15</v>
      </c>
      <c r="G27" s="137"/>
      <c r="H27" s="137"/>
      <c r="I27" s="139"/>
      <c r="J27" s="137"/>
      <c r="K27" s="130"/>
      <c r="L27" s="133"/>
    </row>
    <row r="28" spans="1:18">
      <c r="A28" s="304"/>
      <c r="B28" s="300"/>
      <c r="C28" s="141"/>
      <c r="D28" s="137" t="s">
        <v>408</v>
      </c>
      <c r="E28" s="142"/>
      <c r="F28" s="137"/>
      <c r="G28" s="137"/>
      <c r="H28" s="137"/>
      <c r="I28" s="139"/>
      <c r="J28" s="137"/>
      <c r="K28" s="130"/>
      <c r="L28" s="133"/>
    </row>
    <row r="29" spans="1:18" ht="19" thickBot="1">
      <c r="A29" s="307"/>
      <c r="B29" s="301"/>
      <c r="C29" s="151"/>
      <c r="D29" s="152"/>
      <c r="E29" s="153"/>
      <c r="F29" s="152"/>
      <c r="G29" s="152"/>
      <c r="H29" s="152"/>
      <c r="I29" s="154"/>
      <c r="J29" s="152"/>
      <c r="K29" s="143"/>
      <c r="L29" s="145"/>
    </row>
    <row r="30" spans="1:18">
      <c r="A30" s="308">
        <f>COUNTA(E30:E43)</f>
        <v>12</v>
      </c>
      <c r="B30" s="302" t="s">
        <v>42</v>
      </c>
      <c r="C30" s="130" t="s">
        <v>82</v>
      </c>
      <c r="D30" s="130" t="s">
        <v>9</v>
      </c>
      <c r="E30" s="131" t="s">
        <v>10</v>
      </c>
      <c r="F30" s="130" t="s">
        <v>15</v>
      </c>
      <c r="G30" s="130" t="s">
        <v>16</v>
      </c>
      <c r="H30" s="130" t="s">
        <v>17</v>
      </c>
      <c r="I30" s="132">
        <v>8502</v>
      </c>
      <c r="J30" s="130"/>
      <c r="K30" s="130"/>
      <c r="L30" s="133" t="s">
        <v>89</v>
      </c>
      <c r="M30" t="s">
        <v>22</v>
      </c>
      <c r="O30" t="s">
        <v>21</v>
      </c>
      <c r="P30" t="s">
        <v>26</v>
      </c>
      <c r="Q30" t="s">
        <v>27</v>
      </c>
    </row>
    <row r="31" spans="1:18">
      <c r="A31" s="308"/>
      <c r="B31" s="302"/>
      <c r="C31" s="130" t="s">
        <v>82</v>
      </c>
      <c r="D31" s="130" t="s">
        <v>19</v>
      </c>
      <c r="E31" s="131" t="s">
        <v>20</v>
      </c>
      <c r="F31" s="130" t="s">
        <v>15</v>
      </c>
      <c r="G31" s="130" t="s">
        <v>16</v>
      </c>
      <c r="H31" s="130" t="s">
        <v>17</v>
      </c>
      <c r="I31" s="132"/>
      <c r="J31" s="130"/>
      <c r="K31" s="130"/>
      <c r="L31" s="133" t="s">
        <v>89</v>
      </c>
      <c r="R31" t="s">
        <v>30</v>
      </c>
    </row>
    <row r="32" spans="1:18">
      <c r="A32" s="308"/>
      <c r="B32" s="302"/>
      <c r="C32" s="130" t="s">
        <v>82</v>
      </c>
      <c r="D32" s="130" t="s">
        <v>31</v>
      </c>
      <c r="E32" s="131" t="s">
        <v>32</v>
      </c>
      <c r="F32" s="130" t="s">
        <v>15</v>
      </c>
      <c r="G32" s="130" t="s">
        <v>16</v>
      </c>
      <c r="H32" s="130" t="s">
        <v>17</v>
      </c>
      <c r="I32" s="132">
        <v>8503</v>
      </c>
      <c r="J32" s="130"/>
      <c r="K32" s="130"/>
      <c r="L32" s="133" t="s">
        <v>89</v>
      </c>
    </row>
    <row r="33" spans="1:17">
      <c r="A33" s="308"/>
      <c r="B33" s="302"/>
      <c r="C33" s="130" t="s">
        <v>82</v>
      </c>
      <c r="D33" s="130" t="s">
        <v>28</v>
      </c>
      <c r="E33" s="131" t="s">
        <v>29</v>
      </c>
      <c r="F33" s="130" t="s">
        <v>15</v>
      </c>
      <c r="G33" s="130" t="s">
        <v>16</v>
      </c>
      <c r="H33" s="130" t="s">
        <v>17</v>
      </c>
      <c r="I33" s="132">
        <v>8504</v>
      </c>
      <c r="J33" s="130"/>
      <c r="K33" s="130"/>
      <c r="L33" s="133" t="s">
        <v>89</v>
      </c>
      <c r="P33" t="s">
        <v>33</v>
      </c>
      <c r="Q33" t="s">
        <v>34</v>
      </c>
    </row>
    <row r="34" spans="1:17">
      <c r="A34" s="308"/>
      <c r="B34" s="302"/>
      <c r="C34" s="130" t="s">
        <v>82</v>
      </c>
      <c r="D34" s="130" t="s">
        <v>67</v>
      </c>
      <c r="E34" s="131" t="s">
        <v>35</v>
      </c>
      <c r="F34" s="130" t="s">
        <v>15</v>
      </c>
      <c r="G34" s="130" t="s">
        <v>16</v>
      </c>
      <c r="H34" s="130" t="s">
        <v>17</v>
      </c>
      <c r="I34" s="132">
        <v>8505</v>
      </c>
      <c r="J34" s="130"/>
      <c r="K34" s="130"/>
      <c r="L34" s="133" t="s">
        <v>89</v>
      </c>
    </row>
    <row r="35" spans="1:17">
      <c r="A35" s="308"/>
      <c r="B35" s="302"/>
      <c r="C35" s="130" t="s">
        <v>82</v>
      </c>
      <c r="D35" s="130" t="s">
        <v>70</v>
      </c>
      <c r="E35" s="131" t="s">
        <v>72</v>
      </c>
      <c r="F35" s="130" t="s">
        <v>15</v>
      </c>
      <c r="G35" s="130" t="s">
        <v>16</v>
      </c>
      <c r="H35" s="130" t="s">
        <v>17</v>
      </c>
      <c r="I35" s="132">
        <v>8506</v>
      </c>
      <c r="J35" s="130"/>
      <c r="K35" s="130"/>
      <c r="L35" s="133" t="s">
        <v>89</v>
      </c>
    </row>
    <row r="36" spans="1:17">
      <c r="A36" s="308"/>
      <c r="B36" s="302"/>
      <c r="C36" s="130" t="s">
        <v>82</v>
      </c>
      <c r="D36" s="130" t="s">
        <v>71</v>
      </c>
      <c r="E36" s="131" t="s">
        <v>73</v>
      </c>
      <c r="F36" s="130" t="s">
        <v>15</v>
      </c>
      <c r="G36" s="130" t="s">
        <v>16</v>
      </c>
      <c r="H36" s="130" t="s">
        <v>17</v>
      </c>
      <c r="I36" s="132">
        <v>7878</v>
      </c>
      <c r="J36" s="130"/>
      <c r="K36" s="130"/>
      <c r="L36" s="133" t="s">
        <v>89</v>
      </c>
    </row>
    <row r="37" spans="1:17">
      <c r="A37" s="308"/>
      <c r="B37" s="302"/>
      <c r="C37" s="130" t="s">
        <v>82</v>
      </c>
      <c r="D37" s="130" t="s">
        <v>74</v>
      </c>
      <c r="E37" s="131" t="s">
        <v>75</v>
      </c>
      <c r="F37" s="130" t="s">
        <v>15</v>
      </c>
      <c r="G37" s="130" t="s">
        <v>16</v>
      </c>
      <c r="H37" s="130" t="s">
        <v>17</v>
      </c>
      <c r="I37" s="132">
        <v>4000</v>
      </c>
      <c r="J37" s="130"/>
      <c r="K37" s="130"/>
      <c r="L37" s="133" t="s">
        <v>89</v>
      </c>
    </row>
    <row r="38" spans="1:17">
      <c r="A38" s="308"/>
      <c r="B38" s="302"/>
      <c r="C38" s="130"/>
      <c r="D38" s="130"/>
      <c r="E38" s="130"/>
      <c r="F38" s="130"/>
      <c r="G38" s="130"/>
      <c r="H38" s="130"/>
      <c r="I38" s="132"/>
      <c r="J38" s="130"/>
      <c r="K38" s="130"/>
      <c r="L38" s="133"/>
    </row>
    <row r="39" spans="1:17">
      <c r="A39" s="308"/>
      <c r="B39" s="302"/>
      <c r="C39" s="130" t="s">
        <v>82</v>
      </c>
      <c r="D39" s="130" t="s">
        <v>402</v>
      </c>
      <c r="E39" s="131" t="s">
        <v>76</v>
      </c>
      <c r="F39" s="130" t="s">
        <v>15</v>
      </c>
      <c r="G39" s="130"/>
      <c r="H39" s="130" t="s">
        <v>86</v>
      </c>
      <c r="I39" s="132"/>
      <c r="J39" s="130"/>
      <c r="K39" s="130"/>
      <c r="L39" s="133"/>
    </row>
    <row r="40" spans="1:17">
      <c r="A40" s="308"/>
      <c r="B40" s="302"/>
      <c r="C40" s="130"/>
      <c r="D40" s="130"/>
      <c r="E40" s="131" t="s">
        <v>77</v>
      </c>
      <c r="F40" s="130" t="s">
        <v>15</v>
      </c>
      <c r="G40" s="130"/>
      <c r="H40" s="130" t="s">
        <v>86</v>
      </c>
      <c r="I40" s="132"/>
      <c r="J40" s="130"/>
      <c r="K40" s="130"/>
      <c r="L40" s="133"/>
    </row>
    <row r="41" spans="1:17">
      <c r="A41" s="308"/>
      <c r="B41" s="302"/>
      <c r="C41" s="130" t="s">
        <v>82</v>
      </c>
      <c r="D41" s="130" t="s">
        <v>78</v>
      </c>
      <c r="E41" s="131" t="s">
        <v>79</v>
      </c>
      <c r="F41" s="130" t="s">
        <v>15</v>
      </c>
      <c r="G41" s="130"/>
      <c r="H41" s="130" t="s">
        <v>17</v>
      </c>
      <c r="I41" s="132"/>
      <c r="J41" s="130"/>
      <c r="K41" s="130"/>
      <c r="L41" s="133"/>
    </row>
    <row r="42" spans="1:17">
      <c r="A42" s="308"/>
      <c r="B42" s="302"/>
      <c r="C42" s="130"/>
      <c r="D42" s="130" t="s">
        <v>85</v>
      </c>
      <c r="E42" s="131" t="s">
        <v>84</v>
      </c>
      <c r="F42" s="130" t="s">
        <v>15</v>
      </c>
      <c r="G42" s="130"/>
      <c r="H42" s="130" t="s">
        <v>17</v>
      </c>
      <c r="I42" s="132">
        <v>11434</v>
      </c>
      <c r="J42" s="130"/>
      <c r="K42" s="130"/>
      <c r="L42" s="133"/>
    </row>
    <row r="43" spans="1:17" ht="19" thickBot="1">
      <c r="A43" s="309"/>
      <c r="B43" s="303"/>
      <c r="C43" s="143"/>
      <c r="D43" s="143"/>
      <c r="E43" s="143"/>
      <c r="F43" s="143"/>
      <c r="G43" s="143"/>
      <c r="H43" s="143"/>
      <c r="I43" s="144"/>
      <c r="J43" s="143"/>
      <c r="K43" s="143"/>
      <c r="L43" s="145"/>
    </row>
  </sheetData>
  <mergeCells count="13">
    <mergeCell ref="D2:D3"/>
    <mergeCell ref="B2:C3"/>
    <mergeCell ref="E2:E3"/>
    <mergeCell ref="F2:L2"/>
    <mergeCell ref="B4:B15"/>
    <mergeCell ref="A2:A3"/>
    <mergeCell ref="B16:B22"/>
    <mergeCell ref="B23:B29"/>
    <mergeCell ref="B30:B43"/>
    <mergeCell ref="A4:A15"/>
    <mergeCell ref="A16:A22"/>
    <mergeCell ref="A23:A29"/>
    <mergeCell ref="A30:A43"/>
  </mergeCells>
  <phoneticPr fontId="3" type="noConversion"/>
  <hyperlinks>
    <hyperlink ref="E30" r:id="rId1" xr:uid="{48039168-70BE-0F4E-9B74-A9A9F9AD4610}"/>
    <hyperlink ref="E31" r:id="rId2" xr:uid="{6BD9B694-5612-2E4F-B584-530324E8AB48}"/>
    <hyperlink ref="E33" r:id="rId3" xr:uid="{EA8C1F7E-9C1F-A745-AE79-255BC7A62230}"/>
    <hyperlink ref="E32" r:id="rId4" xr:uid="{B7E14140-C448-F245-A0E4-5F3635EF4952}"/>
    <hyperlink ref="E34" r:id="rId5" xr:uid="{A39EE4A4-558E-B74A-A787-6E434DAA5BB4}"/>
    <hyperlink ref="E5" r:id="rId6" xr:uid="{35EDEFF6-878D-5A48-9D3D-CF6D9E946F76}"/>
    <hyperlink ref="E4" r:id="rId7" xr:uid="{F92171A4-8C84-4742-A428-C557DD2680F5}"/>
    <hyperlink ref="E6" r:id="rId8" xr:uid="{718EEEFD-F539-E14F-8DF1-C5A3B3DE796D}"/>
    <hyperlink ref="E7" r:id="rId9" xr:uid="{CB0ADA52-0ADA-1549-9449-F2DDF0A2730B}"/>
    <hyperlink ref="E9" r:id="rId10" xr:uid="{A7C4F107-8C25-3A46-B20A-8E73E4E87880}"/>
    <hyperlink ref="E17" r:id="rId11" xr:uid="{0477E949-2239-0841-A102-F77DC006F0D8}"/>
    <hyperlink ref="E18" r:id="rId12" xr:uid="{B1CE7222-B953-194F-868F-598503781962}"/>
    <hyperlink ref="E21" r:id="rId13" xr:uid="{00EA0C92-4438-1C4D-B876-BC7DBD38F564}"/>
    <hyperlink ref="E12" r:id="rId14" xr:uid="{EB4439D2-F332-1C4F-AE9B-3FB3F5E4B8F2}"/>
    <hyperlink ref="E13" r:id="rId15" xr:uid="{D7E89D1D-88DD-F247-86BB-2DEC0F2F06CC}"/>
    <hyperlink ref="E14" r:id="rId16" xr:uid="{60511FBA-5748-CD4B-AE53-1AD26E78A0AA}"/>
    <hyperlink ref="E35" r:id="rId17" xr:uid="{D433A721-CDFE-4548-89A9-1E2DBA8762AB}"/>
    <hyperlink ref="E36" r:id="rId18" xr:uid="{075313DB-F6F6-E441-A8AC-CD289688C4E0}"/>
    <hyperlink ref="E37" r:id="rId19" xr:uid="{632D32C3-E59A-2B44-9C4A-717EB9B2D3D8}"/>
    <hyperlink ref="E39" r:id="rId20" xr:uid="{88D3DABD-EADD-E140-91B9-7849C937E41A}"/>
    <hyperlink ref="E40" r:id="rId21" xr:uid="{484314C2-C4EA-0649-9A71-E2B580FFE625}"/>
    <hyperlink ref="E41" r:id="rId22" xr:uid="{DF42FBD3-DA5C-D94B-8158-07B69883BB36}"/>
    <hyperlink ref="E42" r:id="rId23" xr:uid="{87CB32D1-9BC1-1146-B839-9E3269DEF593}"/>
    <hyperlink ref="E10" r:id="rId24" xr:uid="{C48247CE-FB79-8647-91B4-139E8667F060}"/>
    <hyperlink ref="E19" r:id="rId25" xr:uid="{05FC5B27-7D49-2E43-A029-0A8356EFC896}"/>
    <hyperlink ref="E25" r:id="rId26" xr:uid="{604A6606-AEE8-E043-B70D-937648C69709}"/>
    <hyperlink ref="E26" r:id="rId27" xr:uid="{CEEF7180-C9DC-7A40-9F82-1E69ADE5C1ED}"/>
    <hyperlink ref="E16" r:id="rId28" xr:uid="{829F3812-3088-DF43-97C8-1A6358080935}"/>
    <hyperlink ref="E27" r:id="rId29" xr:uid="{409014DE-8C37-DE4B-B822-E53F4FED8777}"/>
    <hyperlink ref="E24" r:id="rId30" xr:uid="{9CCCBF34-F89D-A748-B4DD-273BF002ECEE}"/>
    <hyperlink ref="E23" r:id="rId31" xr:uid="{5CB561F4-85C5-F044-9681-C089FDBBFE8F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B1EFB0-8FF7-1B4B-883D-505EA7F9552A}">
  <dimension ref="A2:L15"/>
  <sheetViews>
    <sheetView workbookViewId="0">
      <selection activeCell="D5" sqref="D5"/>
    </sheetView>
  </sheetViews>
  <sheetFormatPr baseColWidth="10" defaultColWidth="7.7109375" defaultRowHeight="18"/>
  <cols>
    <col min="1" max="1" width="7.7109375" style="177"/>
    <col min="2" max="2" width="16" style="177" customWidth="1"/>
    <col min="3" max="3" width="14.28515625" style="177" bestFit="1" customWidth="1"/>
    <col min="4" max="4" width="22.140625" style="177" bestFit="1" customWidth="1"/>
    <col min="5" max="5" width="32.28515625" style="177" bestFit="1" customWidth="1"/>
    <col min="6" max="6" width="27.5703125" style="177" bestFit="1" customWidth="1"/>
    <col min="7" max="7" width="16.42578125" style="189" bestFit="1" customWidth="1"/>
    <col min="8" max="8" width="11.140625" style="189" bestFit="1" customWidth="1"/>
    <col min="9" max="9" width="11.28515625" style="177" bestFit="1" customWidth="1"/>
    <col min="10" max="10" width="18.7109375" style="177" customWidth="1"/>
    <col min="11" max="11" width="50.28515625" style="177" customWidth="1"/>
    <col min="12" max="12" width="30.7109375" style="177" customWidth="1"/>
    <col min="13" max="16384" width="7.7109375" style="177"/>
  </cols>
  <sheetData>
    <row r="2" spans="1:12">
      <c r="B2" s="315" t="s">
        <v>420</v>
      </c>
      <c r="C2" s="315"/>
      <c r="D2" s="315"/>
      <c r="E2" s="315"/>
      <c r="F2" s="315"/>
      <c r="G2" s="315"/>
      <c r="H2" s="315"/>
      <c r="I2" s="315"/>
      <c r="J2" s="315"/>
      <c r="K2" s="315"/>
    </row>
    <row r="4" spans="1:12" ht="42" customHeight="1">
      <c r="B4" s="178" t="s">
        <v>421</v>
      </c>
      <c r="C4" s="178" t="s">
        <v>422</v>
      </c>
      <c r="D4" s="178" t="s">
        <v>423</v>
      </c>
      <c r="E4" s="178" t="s">
        <v>424</v>
      </c>
      <c r="F4" s="178" t="s">
        <v>425</v>
      </c>
      <c r="G4" s="179" t="s">
        <v>426</v>
      </c>
      <c r="H4" s="179" t="s">
        <v>427</v>
      </c>
      <c r="I4" s="178" t="s">
        <v>428</v>
      </c>
      <c r="J4" s="178" t="s">
        <v>476</v>
      </c>
      <c r="K4" s="178" t="s">
        <v>429</v>
      </c>
    </row>
    <row r="5" spans="1:12" ht="232.5" customHeight="1">
      <c r="B5" s="180" t="s">
        <v>238</v>
      </c>
      <c r="C5" s="180" t="s">
        <v>430</v>
      </c>
      <c r="D5" s="198" t="s">
        <v>431</v>
      </c>
      <c r="E5" s="181" t="s">
        <v>432</v>
      </c>
      <c r="F5" s="198" t="s">
        <v>433</v>
      </c>
      <c r="G5" s="182">
        <v>1408</v>
      </c>
      <c r="H5" s="182" t="s">
        <v>434</v>
      </c>
      <c r="I5" s="198" t="s">
        <v>435</v>
      </c>
      <c r="J5" s="192" t="s">
        <v>475</v>
      </c>
      <c r="K5" s="184" t="s">
        <v>436</v>
      </c>
      <c r="L5" s="188" t="s">
        <v>474</v>
      </c>
    </row>
    <row r="6" spans="1:12">
      <c r="B6" s="183" t="s">
        <v>269</v>
      </c>
      <c r="C6" s="183" t="s">
        <v>430</v>
      </c>
      <c r="D6" s="183" t="s">
        <v>437</v>
      </c>
      <c r="E6" s="183" t="s">
        <v>438</v>
      </c>
      <c r="F6" s="183" t="s">
        <v>439</v>
      </c>
      <c r="G6" s="185">
        <v>512</v>
      </c>
      <c r="H6" s="185" t="s">
        <v>440</v>
      </c>
      <c r="I6" s="183" t="s">
        <v>441</v>
      </c>
      <c r="J6" s="183"/>
      <c r="K6" s="186"/>
    </row>
    <row r="7" spans="1:12" ht="195.75" customHeight="1">
      <c r="B7" s="183" t="s">
        <v>235</v>
      </c>
      <c r="C7" s="183" t="s">
        <v>442</v>
      </c>
      <c r="D7" s="183" t="s">
        <v>443</v>
      </c>
      <c r="E7" s="183" t="s">
        <v>444</v>
      </c>
      <c r="F7" s="183" t="s">
        <v>445</v>
      </c>
      <c r="G7" s="185">
        <v>768</v>
      </c>
      <c r="H7" s="185" t="s">
        <v>446</v>
      </c>
      <c r="I7" s="183" t="s">
        <v>447</v>
      </c>
      <c r="J7" s="183" t="s">
        <v>448</v>
      </c>
      <c r="K7" s="187" t="s">
        <v>449</v>
      </c>
    </row>
    <row r="8" spans="1:12">
      <c r="B8" s="183" t="s">
        <v>234</v>
      </c>
      <c r="C8" s="183" t="s">
        <v>224</v>
      </c>
      <c r="D8" s="183" t="s">
        <v>450</v>
      </c>
      <c r="E8" s="183" t="s">
        <v>451</v>
      </c>
      <c r="F8" s="183" t="s">
        <v>452</v>
      </c>
      <c r="G8" s="185">
        <v>1152</v>
      </c>
      <c r="H8" s="185" t="s">
        <v>453</v>
      </c>
      <c r="I8" s="183" t="s">
        <v>447</v>
      </c>
      <c r="J8" s="183" t="s">
        <v>454</v>
      </c>
      <c r="K8" s="186"/>
    </row>
    <row r="11" spans="1:12">
      <c r="D11" s="190" t="s">
        <v>455</v>
      </c>
      <c r="E11" s="190" t="s">
        <v>456</v>
      </c>
      <c r="F11" s="190" t="s">
        <v>457</v>
      </c>
      <c r="G11" s="190" t="s">
        <v>458</v>
      </c>
    </row>
    <row r="12" spans="1:12">
      <c r="D12" s="191" t="s">
        <v>459</v>
      </c>
      <c r="E12" s="191" t="s">
        <v>460</v>
      </c>
      <c r="F12" s="191" t="s">
        <v>461</v>
      </c>
      <c r="G12" s="191" t="s">
        <v>462</v>
      </c>
    </row>
    <row r="13" spans="1:12">
      <c r="D13" s="29" t="s">
        <v>463</v>
      </c>
      <c r="E13" s="29" t="s">
        <v>464</v>
      </c>
      <c r="F13" s="29" t="s">
        <v>465</v>
      </c>
      <c r="G13" s="29" t="s">
        <v>466</v>
      </c>
    </row>
    <row r="14" spans="1:12">
      <c r="D14" s="29" t="s">
        <v>467</v>
      </c>
      <c r="E14" s="29" t="s">
        <v>468</v>
      </c>
      <c r="F14" s="29" t="s">
        <v>465</v>
      </c>
      <c r="G14" s="29" t="s">
        <v>469</v>
      </c>
    </row>
    <row r="15" spans="1:12" s="189" customFormat="1">
      <c r="A15" s="177"/>
      <c r="B15" s="177"/>
      <c r="C15" s="177"/>
      <c r="D15" s="29" t="s">
        <v>470</v>
      </c>
      <c r="E15" s="29" t="s">
        <v>471</v>
      </c>
      <c r="F15" s="29" t="s">
        <v>472</v>
      </c>
      <c r="G15" s="29" t="s">
        <v>473</v>
      </c>
      <c r="I15" s="177"/>
      <c r="J15" s="177"/>
      <c r="K15" s="177"/>
      <c r="L15" s="177"/>
    </row>
  </sheetData>
  <mergeCells count="1">
    <mergeCell ref="B2:K2"/>
  </mergeCells>
  <phoneticPr fontId="3" type="noConversion"/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6B92B9-6BE8-5542-8346-F55A6D546713}">
  <dimension ref="A5:J45"/>
  <sheetViews>
    <sheetView workbookViewId="0">
      <selection activeCell="C3" sqref="C3"/>
    </sheetView>
  </sheetViews>
  <sheetFormatPr baseColWidth="10" defaultRowHeight="18"/>
  <cols>
    <col min="1" max="1" width="9.28515625" customWidth="1"/>
    <col min="2" max="2" width="13.85546875" bestFit="1" customWidth="1"/>
    <col min="3" max="3" width="23.28515625" bestFit="1" customWidth="1"/>
    <col min="4" max="4" width="13.85546875" bestFit="1" customWidth="1"/>
    <col min="5" max="5" width="18.140625" bestFit="1" customWidth="1"/>
    <col min="6" max="6" width="16.140625" customWidth="1"/>
    <col min="7" max="7" width="34" style="5" customWidth="1"/>
    <col min="8" max="8" width="20.28515625" bestFit="1" customWidth="1"/>
    <col min="9" max="9" width="18.5703125" bestFit="1" customWidth="1"/>
    <col min="10" max="10" width="24.42578125" bestFit="1" customWidth="1"/>
  </cols>
  <sheetData>
    <row r="5" spans="1:10" ht="19" thickBot="1">
      <c r="A5" s="14" t="s">
        <v>537</v>
      </c>
    </row>
    <row r="6" spans="1:10" ht="20" thickBot="1">
      <c r="A6" s="220" t="s">
        <v>534</v>
      </c>
      <c r="B6" s="221" t="s">
        <v>213</v>
      </c>
      <c r="C6" s="222" t="s">
        <v>492</v>
      </c>
      <c r="D6" s="222" t="s">
        <v>493</v>
      </c>
      <c r="E6" s="222" t="s">
        <v>494</v>
      </c>
      <c r="F6" s="222" t="s">
        <v>495</v>
      </c>
      <c r="G6" s="223" t="s">
        <v>1</v>
      </c>
      <c r="H6" s="222" t="s">
        <v>497</v>
      </c>
      <c r="I6" s="222" t="s">
        <v>499</v>
      </c>
      <c r="J6" s="224" t="s">
        <v>501</v>
      </c>
    </row>
    <row r="7" spans="1:10" ht="76">
      <c r="A7" s="218">
        <v>2</v>
      </c>
      <c r="B7" s="200" t="s">
        <v>491</v>
      </c>
      <c r="C7" s="201" t="s">
        <v>88</v>
      </c>
      <c r="D7" s="201" t="s">
        <v>39</v>
      </c>
      <c r="E7" s="205" t="s">
        <v>502</v>
      </c>
      <c r="F7" s="205" t="s">
        <v>496</v>
      </c>
      <c r="G7" s="217" t="s">
        <v>498</v>
      </c>
      <c r="H7" s="201"/>
      <c r="I7" s="203">
        <v>600000</v>
      </c>
      <c r="J7" s="204" t="s">
        <v>500</v>
      </c>
    </row>
    <row r="8" spans="1:10">
      <c r="A8" s="218"/>
      <c r="B8" s="200"/>
      <c r="C8" s="201"/>
      <c r="D8" s="201"/>
      <c r="E8" s="201"/>
      <c r="F8" s="201"/>
      <c r="G8" s="202"/>
      <c r="H8" s="201"/>
      <c r="I8" s="203"/>
      <c r="J8" s="204"/>
    </row>
    <row r="9" spans="1:10" ht="19">
      <c r="A9" s="218">
        <v>3</v>
      </c>
      <c r="B9" s="200" t="s">
        <v>503</v>
      </c>
      <c r="C9" s="201"/>
      <c r="D9" s="201" t="s">
        <v>512</v>
      </c>
      <c r="E9" s="205" t="s">
        <v>502</v>
      </c>
      <c r="F9" s="201"/>
      <c r="G9" s="206" t="s">
        <v>504</v>
      </c>
      <c r="H9" s="207" t="s">
        <v>505</v>
      </c>
      <c r="I9" s="208">
        <v>22</v>
      </c>
      <c r="J9" s="204" t="s">
        <v>540</v>
      </c>
    </row>
    <row r="10" spans="1:10" ht="19">
      <c r="A10" s="218">
        <v>5</v>
      </c>
      <c r="B10" s="200" t="s">
        <v>506</v>
      </c>
      <c r="C10" s="201" t="s">
        <v>510</v>
      </c>
      <c r="D10" s="201" t="s">
        <v>512</v>
      </c>
      <c r="E10" s="201"/>
      <c r="F10" s="201"/>
      <c r="G10" s="206" t="s">
        <v>507</v>
      </c>
      <c r="H10" s="207" t="s">
        <v>508</v>
      </c>
      <c r="I10" s="203">
        <v>70000</v>
      </c>
      <c r="J10" s="204" t="s">
        <v>300</v>
      </c>
    </row>
    <row r="11" spans="1:10" ht="19">
      <c r="A11" s="218"/>
      <c r="B11" s="200" t="s">
        <v>300</v>
      </c>
      <c r="C11" s="201" t="s">
        <v>509</v>
      </c>
      <c r="D11" s="201" t="s">
        <v>512</v>
      </c>
      <c r="E11" s="201"/>
      <c r="F11" s="201"/>
      <c r="G11" s="206" t="s">
        <v>511</v>
      </c>
      <c r="H11" s="201"/>
      <c r="I11" s="203">
        <v>0</v>
      </c>
      <c r="J11" s="204" t="s">
        <v>538</v>
      </c>
    </row>
    <row r="12" spans="1:10" ht="19">
      <c r="A12" s="218">
        <v>6</v>
      </c>
      <c r="B12" s="200" t="s">
        <v>300</v>
      </c>
      <c r="C12" s="201" t="s">
        <v>544</v>
      </c>
      <c r="D12" s="201" t="s">
        <v>512</v>
      </c>
      <c r="E12" s="201"/>
      <c r="F12" s="201"/>
      <c r="G12" s="206" t="s">
        <v>539</v>
      </c>
      <c r="H12" s="207" t="s">
        <v>508</v>
      </c>
      <c r="I12" s="208">
        <v>20</v>
      </c>
      <c r="J12" s="204" t="s">
        <v>518</v>
      </c>
    </row>
    <row r="13" spans="1:10" ht="19">
      <c r="A13" s="218"/>
      <c r="B13" s="200" t="s">
        <v>513</v>
      </c>
      <c r="C13" s="201" t="s">
        <v>514</v>
      </c>
      <c r="D13" t="s">
        <v>546</v>
      </c>
      <c r="E13" s="205" t="s">
        <v>502</v>
      </c>
      <c r="F13" s="201"/>
      <c r="G13" s="206" t="s">
        <v>515</v>
      </c>
      <c r="H13" s="207" t="s">
        <v>508</v>
      </c>
      <c r="I13" s="203"/>
      <c r="J13" s="204" t="s">
        <v>300</v>
      </c>
    </row>
    <row r="14" spans="1:10">
      <c r="A14" s="218"/>
      <c r="B14" s="200"/>
      <c r="C14" s="201"/>
      <c r="D14" s="201"/>
      <c r="E14" s="205"/>
      <c r="F14" s="201"/>
      <c r="G14" s="206"/>
      <c r="H14" s="207"/>
      <c r="I14" s="203"/>
      <c r="J14" s="204"/>
    </row>
    <row r="15" spans="1:10">
      <c r="A15" s="218"/>
      <c r="B15" s="200" t="s">
        <v>516</v>
      </c>
      <c r="C15" s="201" t="s">
        <v>517</v>
      </c>
      <c r="D15" s="201" t="s">
        <v>512</v>
      </c>
      <c r="E15" s="209" t="s">
        <v>521</v>
      </c>
      <c r="F15" s="201"/>
      <c r="G15" s="202"/>
      <c r="H15" s="207" t="s">
        <v>508</v>
      </c>
      <c r="I15" s="203"/>
      <c r="J15" s="204" t="s">
        <v>519</v>
      </c>
    </row>
    <row r="16" spans="1:10" ht="19">
      <c r="A16" s="218"/>
      <c r="B16" s="200" t="s">
        <v>520</v>
      </c>
      <c r="C16" s="201" t="s">
        <v>523</v>
      </c>
      <c r="D16" s="201" t="s">
        <v>512</v>
      </c>
      <c r="E16" s="209" t="s">
        <v>521</v>
      </c>
      <c r="F16" s="201"/>
      <c r="G16" s="206" t="s">
        <v>522</v>
      </c>
      <c r="H16" s="201"/>
      <c r="I16" s="208">
        <v>50</v>
      </c>
      <c r="J16" s="204"/>
    </row>
    <row r="17" spans="1:10" ht="38">
      <c r="A17" s="218"/>
      <c r="B17" s="200" t="s">
        <v>524</v>
      </c>
      <c r="C17" s="201" t="s">
        <v>525</v>
      </c>
      <c r="D17" s="201" t="s">
        <v>512</v>
      </c>
      <c r="E17" s="209" t="s">
        <v>521</v>
      </c>
      <c r="F17" s="201"/>
      <c r="G17" s="206" t="s">
        <v>526</v>
      </c>
      <c r="H17" s="207" t="s">
        <v>508</v>
      </c>
      <c r="I17" s="203" t="s">
        <v>527</v>
      </c>
      <c r="J17" s="204"/>
    </row>
    <row r="18" spans="1:10" ht="19" thickBot="1">
      <c r="A18" s="219"/>
      <c r="B18" s="210" t="s">
        <v>528</v>
      </c>
      <c r="C18" s="211" t="s">
        <v>529</v>
      </c>
      <c r="D18" s="211" t="s">
        <v>512</v>
      </c>
      <c r="E18" s="212" t="s">
        <v>521</v>
      </c>
      <c r="F18" s="211"/>
      <c r="G18" s="213"/>
      <c r="H18" s="214" t="s">
        <v>508</v>
      </c>
      <c r="I18" s="215" t="s">
        <v>530</v>
      </c>
      <c r="J18" s="216" t="s">
        <v>531</v>
      </c>
    </row>
    <row r="19" spans="1:10">
      <c r="I19" s="19"/>
    </row>
    <row r="20" spans="1:10" ht="19">
      <c r="B20" t="s">
        <v>541</v>
      </c>
      <c r="C20" t="s">
        <v>542</v>
      </c>
      <c r="G20" s="225" t="s">
        <v>543</v>
      </c>
      <c r="H20" s="207" t="s">
        <v>508</v>
      </c>
      <c r="I20" s="19"/>
    </row>
    <row r="21" spans="1:10" ht="19">
      <c r="B21" t="s">
        <v>506</v>
      </c>
      <c r="C21" t="s">
        <v>509</v>
      </c>
      <c r="D21" t="s">
        <v>546</v>
      </c>
      <c r="G21" s="225" t="s">
        <v>511</v>
      </c>
      <c r="H21" s="207" t="s">
        <v>508</v>
      </c>
      <c r="I21" s="19"/>
      <c r="J21" t="s">
        <v>545</v>
      </c>
    </row>
    <row r="22" spans="1:10" s="226" customFormat="1" ht="19">
      <c r="B22" s="226" t="s">
        <v>547</v>
      </c>
      <c r="C22" s="226" t="s">
        <v>547</v>
      </c>
      <c r="D22" s="226" t="s">
        <v>546</v>
      </c>
      <c r="G22" s="227" t="s">
        <v>548</v>
      </c>
      <c r="H22" s="228" t="s">
        <v>508</v>
      </c>
      <c r="I22" s="229" t="s">
        <v>549</v>
      </c>
    </row>
    <row r="23" spans="1:10" ht="19">
      <c r="B23" t="s">
        <v>552</v>
      </c>
      <c r="G23" s="225" t="s">
        <v>553</v>
      </c>
      <c r="H23" s="1" t="s">
        <v>508</v>
      </c>
      <c r="I23" s="232">
        <v>5</v>
      </c>
      <c r="J23" s="12">
        <v>45831</v>
      </c>
    </row>
    <row r="24" spans="1:10">
      <c r="I24" s="19"/>
    </row>
    <row r="25" spans="1:10">
      <c r="I25" s="19"/>
    </row>
    <row r="26" spans="1:10">
      <c r="I26" s="19"/>
    </row>
    <row r="27" spans="1:10">
      <c r="I27" s="19"/>
    </row>
    <row r="28" spans="1:10">
      <c r="I28" s="19"/>
    </row>
    <row r="29" spans="1:10">
      <c r="A29" t="s">
        <v>532</v>
      </c>
      <c r="I29" s="19"/>
    </row>
    <row r="30" spans="1:10">
      <c r="I30" s="19"/>
    </row>
    <row r="31" spans="1:10">
      <c r="I31" s="19"/>
    </row>
    <row r="32" spans="1:10">
      <c r="A32" s="4">
        <v>1</v>
      </c>
      <c r="I32" s="19"/>
      <c r="J32" s="4" t="s">
        <v>535</v>
      </c>
    </row>
    <row r="33" spans="1:10">
      <c r="A33">
        <v>2</v>
      </c>
      <c r="I33" s="19"/>
      <c r="J33" t="s">
        <v>533</v>
      </c>
    </row>
    <row r="34" spans="1:10">
      <c r="A34">
        <v>3</v>
      </c>
      <c r="I34" s="19"/>
      <c r="J34" t="s">
        <v>533</v>
      </c>
    </row>
    <row r="35" spans="1:10">
      <c r="A35" s="4">
        <v>4</v>
      </c>
      <c r="I35" s="19"/>
      <c r="J35" s="4" t="s">
        <v>536</v>
      </c>
    </row>
    <row r="36" spans="1:10">
      <c r="A36">
        <v>5</v>
      </c>
      <c r="I36" s="19"/>
      <c r="J36" t="s">
        <v>533</v>
      </c>
    </row>
    <row r="37" spans="1:10">
      <c r="A37">
        <v>6</v>
      </c>
      <c r="I37" s="19"/>
      <c r="J37" t="s">
        <v>533</v>
      </c>
    </row>
    <row r="38" spans="1:10">
      <c r="A38" s="4">
        <v>7</v>
      </c>
      <c r="I38" s="19"/>
      <c r="J38" s="4" t="s">
        <v>536</v>
      </c>
    </row>
    <row r="39" spans="1:10">
      <c r="I39" s="19"/>
    </row>
    <row r="40" spans="1:10">
      <c r="I40" s="19"/>
    </row>
    <row r="41" spans="1:10">
      <c r="I41" s="19"/>
    </row>
    <row r="42" spans="1:10">
      <c r="I42" s="19"/>
    </row>
    <row r="43" spans="1:10">
      <c r="I43" s="19"/>
    </row>
    <row r="44" spans="1:10">
      <c r="I44" s="19"/>
    </row>
    <row r="45" spans="1:10">
      <c r="I45" s="19"/>
    </row>
  </sheetData>
  <phoneticPr fontId="3" type="noConversion"/>
  <hyperlinks>
    <hyperlink ref="G9" r:id="rId1" xr:uid="{8FEA2270-5A56-3041-82D8-F586E004A424}"/>
    <hyperlink ref="H9" r:id="rId2" xr:uid="{59BE305E-15DF-824E-9669-D309DDB3B4E1}"/>
    <hyperlink ref="G10" r:id="rId3" xr:uid="{CC99A07E-ADEF-564F-954D-7CA3BE26EA34}"/>
    <hyperlink ref="H10" r:id="rId4" xr:uid="{0D2E0A3A-98B8-CE43-8AE7-EA6C790251FA}"/>
    <hyperlink ref="G11" r:id="rId5" xr:uid="{1811CE6C-F9B8-6947-8C7A-80950A695B56}"/>
    <hyperlink ref="H13" r:id="rId6" xr:uid="{1EE34BFC-DDCA-E742-AF06-25A26A4DBA36}"/>
    <hyperlink ref="G12" r:id="rId7" location="pricing" xr:uid="{F32B4A9A-82BE-484A-8372-6C01B3B06C42}"/>
    <hyperlink ref="G13" r:id="rId8" xr:uid="{2760006C-CC08-8745-BD53-575F057EDF09}"/>
    <hyperlink ref="H15" r:id="rId9" xr:uid="{3E2200E3-4932-1745-BB74-E5DC433C954D}"/>
    <hyperlink ref="G16" r:id="rId10" xr:uid="{143823A1-3395-A74E-BB17-1C2E522C72CA}"/>
    <hyperlink ref="G17" r:id="rId11" xr:uid="{59932DE9-B577-F64E-B786-9AC615B12BD4}"/>
    <hyperlink ref="H17" r:id="rId12" xr:uid="{60FA0E41-BA97-B648-B2F4-1E6604A19E00}"/>
    <hyperlink ref="H18" r:id="rId13" xr:uid="{834114C2-1239-5244-B91A-821EBBCD036D}"/>
    <hyperlink ref="G20" r:id="rId14" xr:uid="{C815F7D1-E0C9-5543-A5FD-A2D8BDF9A224}"/>
    <hyperlink ref="H20" r:id="rId15" xr:uid="{E474B676-955D-CF41-9BD3-6E697A5334E0}"/>
    <hyperlink ref="G21" r:id="rId16" xr:uid="{BB12D128-E904-A54D-8F73-42E428917FF2}"/>
    <hyperlink ref="H21" r:id="rId17" xr:uid="{A1D0F464-2E11-8C40-80D9-CB517299A58A}"/>
    <hyperlink ref="H12" r:id="rId18" xr:uid="{24CFE839-356F-C446-B28B-F3656BFDE1A2}"/>
    <hyperlink ref="G22" r:id="rId19" xr:uid="{8CCC443E-0A34-FA4E-87DF-4B0755D37296}"/>
    <hyperlink ref="H22" r:id="rId20" xr:uid="{624BF3A4-12DE-BA4E-8830-19E41930A17F}"/>
    <hyperlink ref="G23" r:id="rId21" xr:uid="{E46E1038-1260-3946-ABD0-ECBFAEC4A0DB}"/>
    <hyperlink ref="H23" r:id="rId22" xr:uid="{C5A4575B-F5BD-5348-BA5B-135113340789}"/>
  </hyperlinks>
  <pageMargins left="0.7" right="0.7" top="0.75" bottom="0.75" header="0.3" footer="0.3"/>
  <drawing r:id="rId23"/>
  <legacyDrawing r:id="rId24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B68A1B-ACDD-6649-B5E4-0638FD633702}">
  <dimension ref="A5:I16"/>
  <sheetViews>
    <sheetView tabSelected="1" topLeftCell="A10" zoomScale="165" zoomScaleNormal="165" workbookViewId="0">
      <selection activeCell="K12" sqref="K12"/>
    </sheetView>
  </sheetViews>
  <sheetFormatPr baseColWidth="10" defaultRowHeight="18"/>
  <cols>
    <col min="1" max="1" width="6.28515625" customWidth="1"/>
    <col min="2" max="2" width="6.85546875" bestFit="1" customWidth="1"/>
    <col min="3" max="3" width="28.140625" bestFit="1" customWidth="1"/>
    <col min="4" max="4" width="17.28515625" bestFit="1" customWidth="1"/>
    <col min="5" max="5" width="13.7109375" bestFit="1" customWidth="1"/>
    <col min="6" max="6" width="23.42578125" bestFit="1" customWidth="1"/>
    <col min="7" max="7" width="0" style="233" hidden="1" customWidth="1"/>
    <col min="8" max="8" width="30.85546875" customWidth="1"/>
    <col min="9" max="9" width="41.42578125" customWidth="1"/>
  </cols>
  <sheetData>
    <row r="5" spans="1:9">
      <c r="F5" s="234" t="s">
        <v>564</v>
      </c>
    </row>
    <row r="7" spans="1:9" ht="19" thickBot="1"/>
    <row r="8" spans="1:9">
      <c r="A8" s="316" t="s">
        <v>554</v>
      </c>
      <c r="B8" s="316"/>
      <c r="C8" s="316"/>
      <c r="D8" s="316"/>
      <c r="E8" s="316"/>
      <c r="F8" s="316"/>
      <c r="H8" s="245" t="s">
        <v>586</v>
      </c>
      <c r="I8" s="247" t="s">
        <v>587</v>
      </c>
    </row>
    <row r="9" spans="1:9" ht="19" thickBot="1">
      <c r="A9" s="251" t="s">
        <v>561</v>
      </c>
      <c r="B9" s="251" t="s">
        <v>560</v>
      </c>
      <c r="C9" s="251" t="s">
        <v>558</v>
      </c>
      <c r="D9" s="251" t="s">
        <v>562</v>
      </c>
      <c r="E9" s="251" t="s">
        <v>563</v>
      </c>
      <c r="F9" s="251" t="s">
        <v>569</v>
      </c>
      <c r="H9" s="246" t="s">
        <v>588</v>
      </c>
      <c r="I9" s="248" t="s">
        <v>583</v>
      </c>
    </row>
    <row r="10" spans="1:9" ht="122" thickBot="1">
      <c r="A10" s="86" t="s">
        <v>555</v>
      </c>
      <c r="B10" s="86" t="s">
        <v>230</v>
      </c>
      <c r="C10" s="86" t="s">
        <v>577</v>
      </c>
      <c r="D10" s="86" t="s">
        <v>557</v>
      </c>
      <c r="E10" s="235" t="s">
        <v>573</v>
      </c>
      <c r="F10" s="86" t="str">
        <f>_xlfn.CONCAT(G10,$F$5)</f>
        <v>itsme@veritasconnect.com</v>
      </c>
      <c r="G10" s="233" t="s">
        <v>565</v>
      </c>
      <c r="H10" s="249" t="s">
        <v>579</v>
      </c>
      <c r="I10" s="250" t="s">
        <v>593</v>
      </c>
    </row>
    <row r="11" spans="1:9" s="242" customFormat="1" ht="7" customHeight="1" thickBot="1">
      <c r="A11" s="236"/>
      <c r="B11" s="237"/>
      <c r="C11" s="237"/>
      <c r="D11" s="237"/>
      <c r="E11" s="238"/>
      <c r="F11" s="237"/>
      <c r="G11" s="239"/>
      <c r="H11" s="240"/>
      <c r="I11" s="241"/>
    </row>
    <row r="12" spans="1:9" ht="137" thickBot="1">
      <c r="A12" s="86" t="s">
        <v>556</v>
      </c>
      <c r="B12" s="86" t="s">
        <v>231</v>
      </c>
      <c r="C12" s="86" t="s">
        <v>576</v>
      </c>
      <c r="D12" s="86" t="s">
        <v>570</v>
      </c>
      <c r="E12" s="235" t="s">
        <v>590</v>
      </c>
      <c r="F12" s="86" t="str">
        <f>_xlfn.CONCAT(G12,$F$5)</f>
        <v>ch.kim@veritasconnect.com</v>
      </c>
      <c r="G12" s="233" t="s">
        <v>566</v>
      </c>
      <c r="H12" s="243" t="s">
        <v>580</v>
      </c>
      <c r="I12" s="244" t="s">
        <v>592</v>
      </c>
    </row>
    <row r="13" spans="1:9" s="242" customFormat="1" ht="7" customHeight="1" thickBot="1">
      <c r="A13" s="236"/>
      <c r="B13" s="237"/>
      <c r="C13" s="237"/>
      <c r="D13" s="237"/>
      <c r="E13" s="238"/>
      <c r="F13" s="237"/>
      <c r="G13" s="239"/>
      <c r="H13" s="240"/>
      <c r="I13" s="241"/>
    </row>
    <row r="14" spans="1:9" ht="139" thickBot="1">
      <c r="A14" s="86" t="s">
        <v>574</v>
      </c>
      <c r="B14" s="86" t="s">
        <v>417</v>
      </c>
      <c r="C14" s="86" t="s">
        <v>578</v>
      </c>
      <c r="D14" s="86" t="s">
        <v>571</v>
      </c>
      <c r="E14" s="235" t="s">
        <v>589</v>
      </c>
      <c r="F14" s="86" t="str">
        <f>_xlfn.CONCAT(G14,$F$5)</f>
        <v>junrah@veritasconnect.com</v>
      </c>
      <c r="G14" s="233" t="s">
        <v>567</v>
      </c>
      <c r="H14" s="243" t="s">
        <v>581</v>
      </c>
      <c r="I14" s="244" t="s">
        <v>585</v>
      </c>
    </row>
    <row r="15" spans="1:9" s="242" customFormat="1" ht="7" customHeight="1" thickBot="1">
      <c r="A15" s="236"/>
      <c r="B15" s="237"/>
      <c r="C15" s="237"/>
      <c r="D15" s="237"/>
      <c r="E15" s="238"/>
      <c r="F15" s="237"/>
      <c r="G15" s="239"/>
      <c r="H15" s="240"/>
      <c r="I15" s="241"/>
    </row>
    <row r="16" spans="1:9" ht="103" thickBot="1">
      <c r="A16" s="86" t="s">
        <v>575</v>
      </c>
      <c r="B16" s="86" t="s">
        <v>292</v>
      </c>
      <c r="C16" s="86" t="s">
        <v>559</v>
      </c>
      <c r="D16" s="86" t="s">
        <v>572</v>
      </c>
      <c r="E16" s="235" t="s">
        <v>591</v>
      </c>
      <c r="F16" s="86" t="str">
        <f>_xlfn.CONCAT(G16,$F$5)</f>
        <v>eznyeong@veritasconnect.com</v>
      </c>
      <c r="G16" s="233" t="s">
        <v>568</v>
      </c>
      <c r="H16" s="243" t="s">
        <v>582</v>
      </c>
      <c r="I16" s="244" t="s">
        <v>584</v>
      </c>
    </row>
  </sheetData>
  <mergeCells count="1">
    <mergeCell ref="A8:F8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워크시트</vt:lpstr>
      </vt:variant>
      <vt:variant>
        <vt:i4>13</vt:i4>
      </vt:variant>
      <vt:variant>
        <vt:lpstr>이름 지정된 범위</vt:lpstr>
      </vt:variant>
      <vt:variant>
        <vt:i4>1</vt:i4>
      </vt:variant>
    </vt:vector>
  </HeadingPairs>
  <TitlesOfParts>
    <vt:vector size="14" baseType="lpstr">
      <vt:lpstr>Systems_250408</vt:lpstr>
      <vt:lpstr>Hantu</vt:lpstr>
      <vt:lpstr>MiraeAsset</vt:lpstr>
      <vt:lpstr>Kakao_AWS_Cost_Instancess</vt:lpstr>
      <vt:lpstr>AWS_Kakao_costs_ELB</vt:lpstr>
      <vt:lpstr>old_KakakoPaySec_수익성 검토</vt:lpstr>
      <vt:lpstr>Fin_KakakoPaySec_수익성 검토 (2)</vt:lpstr>
      <vt:lpstr>개발자 노임단가</vt:lpstr>
      <vt:lpstr>유지보수_전체</vt:lpstr>
      <vt:lpstr>운영관리_전체_250408</vt:lpstr>
      <vt:lpstr>Dev_Local</vt:lpstr>
      <vt:lpstr>Payment(25.06)</vt:lpstr>
      <vt:lpstr>NameCard</vt:lpstr>
      <vt:lpstr>유지보수_전체!Print_Area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이 상훈</cp:lastModifiedBy>
  <cp:lastPrinted>2025-04-09T23:12:44Z</cp:lastPrinted>
  <dcterms:created xsi:type="dcterms:W3CDTF">2025-04-07T07:53:58Z</dcterms:created>
  <dcterms:modified xsi:type="dcterms:W3CDTF">2025-10-06T23:18:25Z</dcterms:modified>
</cp:coreProperties>
</file>